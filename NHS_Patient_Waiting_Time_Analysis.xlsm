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Sulman Hayder\OneDrive\Desktop\Data Analytics\Projects\"/>
    </mc:Choice>
  </mc:AlternateContent>
  <xr:revisionPtr revIDLastSave="15" documentId="8_{C527EE84-F410-489D-AFEA-D28DDCAB3274}" xr6:coauthVersionLast="36" xr6:coauthVersionMax="36" xr10:uidLastSave="{EAB8FC08-9944-4DCB-AE8A-403AFD494DDD}"/>
  <bookViews>
    <workbookView xWindow="0" yWindow="0" windowWidth="22260" windowHeight="12645" activeTab="2" xr2:uid="{00000000-000D-0000-FFFF-FFFF00000000}"/>
  </bookViews>
  <sheets>
    <sheet name="Raw Data" sheetId="1" r:id="rId1"/>
    <sheet name="PQ Output" sheetId="2" r:id="rId2"/>
    <sheet name="DAX Pivot" sheetId="7" r:id="rId3"/>
    <sheet name="Analysis" sheetId="3" r:id="rId4"/>
    <sheet name="Pivot" sheetId="4" r:id="rId5"/>
    <sheet name="Dashboard" sheetId="5" r:id="rId6"/>
    <sheet name="Trust Lookup" sheetId="6" r:id="rId7"/>
  </sheets>
  <definedNames>
    <definedName name="_xlcn.WorksheetConnection_NHS_Patient_Waiting_Time_Analysis.xlsmTable1_21" hidden="1">Table1_2[]</definedName>
    <definedName name="ExternalData_1" localSheetId="1" hidden="1">'PQ Output'!$A$1:$M$80</definedName>
    <definedName name="Slicer_Midlands">#N/A</definedName>
  </definedNames>
  <calcPr calcId="191029"/>
  <pivotCaches>
    <pivotCache cacheId="0" r:id="rId8"/>
    <pivotCache cacheId="1" r:id="rId9"/>
    <pivotCache cacheId="21"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_2" name="Table1_2" connection="WorksheetConnection_NHS_Patient_Waiting_Time_Analysis.xlsm!Table1_2"/>
        </x15:modelTables>
      </x15:dataModel>
    </ext>
  </extLst>
</workbook>
</file>

<file path=xl/calcChain.xml><?xml version="1.0" encoding="utf-8"?>
<calcChain xmlns="http://schemas.openxmlformats.org/spreadsheetml/2006/main">
  <c r="H2" i="3" l="1"/>
  <c r="E2" i="3"/>
  <c r="B8" i="3"/>
  <c r="B7" i="3"/>
  <c r="B5" i="3"/>
  <c r="B3" i="3"/>
  <c r="B2" i="3"/>
  <c r="B1" i="3"/>
  <c r="H4" i="3" l="1"/>
  <c r="H3" i="3"/>
  <c r="E5" i="3" l="1"/>
  <c r="E4" i="3"/>
  <c r="E3" i="3"/>
  <c r="B6" i="3"/>
  <c r="B4"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EDBEB13-1377-4A5A-BF38-B51DC0187A56}"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 id="2" xr16:uid="{CFBA594C-CF2F-421B-B271-607162D0B0A2}"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5B99E8FC-8704-4DBB-AEFA-1BF8214B2935}" name="WorksheetConnection_NHS_Patient_Waiting_Time_Analysis.xlsm!Table1_2" type="102" refreshedVersion="6" minRefreshableVersion="5">
    <extLst>
      <ext xmlns:x15="http://schemas.microsoft.com/office/spreadsheetml/2010/11/main" uri="{DE250136-89BD-433C-8126-D09CA5730AF9}">
        <x15:connection id="Table1_2">
          <x15:rangePr sourceName="_xlcn.WorksheetConnection_NHS_Patient_Waiting_Time_Analysis.xlsmTable1_21"/>
        </x15:connection>
      </ext>
    </extLst>
  </connection>
</connections>
</file>

<file path=xl/sharedStrings.xml><?xml version="1.0" encoding="utf-8"?>
<sst xmlns="http://schemas.openxmlformats.org/spreadsheetml/2006/main" count="1637" uniqueCount="175">
  <si>
    <t>NHS-0001</t>
  </si>
  <si>
    <t>Birmingham University Hospitals</t>
  </si>
  <si>
    <t>Midlands</t>
  </si>
  <si>
    <t>Orthopaedics</t>
  </si>
  <si>
    <t>Urgent</t>
  </si>
  <si>
    <t>Seen</t>
  </si>
  <si>
    <t>Miss Sophie Clarke</t>
  </si>
  <si>
    <t>76+</t>
  </si>
  <si>
    <t>Yes</t>
  </si>
  <si>
    <t>NHS-0002</t>
  </si>
  <si>
    <t>Cardiology</t>
  </si>
  <si>
    <t>Routine</t>
  </si>
  <si>
    <t>Waiting</t>
  </si>
  <si>
    <t>Dr James Patel</t>
  </si>
  <si>
    <t>31-45</t>
  </si>
  <si>
    <t>NHS-0003</t>
  </si>
  <si>
    <t>Nottingham University Hospitals</t>
  </si>
  <si>
    <t>No</t>
  </si>
  <si>
    <t>NHS-0004</t>
  </si>
  <si>
    <t>Sheffield Teaching Hospitals</t>
  </si>
  <si>
    <t>North</t>
  </si>
  <si>
    <t>General Surgery</t>
  </si>
  <si>
    <t>Miss Grace Lewis</t>
  </si>
  <si>
    <t>NHS-0005</t>
  </si>
  <si>
    <t>Manchester University NHS</t>
  </si>
  <si>
    <t>A&amp;E</t>
  </si>
  <si>
    <t>Mrs Rebecca Green</t>
  </si>
  <si>
    <t>46-60</t>
  </si>
  <si>
    <t>NHS-0006</t>
  </si>
  <si>
    <t>Newcastle Upon Tyne Hospitals</t>
  </si>
  <si>
    <t>Neurology</t>
  </si>
  <si>
    <t>Dr Amelia Hughes</t>
  </si>
  <si>
    <t>18-30</t>
  </si>
  <si>
    <t>NHS-0007</t>
  </si>
  <si>
    <t>Bristol University Hospitals</t>
  </si>
  <si>
    <t>South</t>
  </si>
  <si>
    <t>Mrs Hannah Wilson</t>
  </si>
  <si>
    <t>NHS-0008</t>
  </si>
  <si>
    <t>Mr Henry Walker</t>
  </si>
  <si>
    <t>NHS-0009</t>
  </si>
  <si>
    <t>Mrs Priya Shah</t>
  </si>
  <si>
    <t>NHS-0010</t>
  </si>
  <si>
    <t>Dr Sarah Mitchell</t>
  </si>
  <si>
    <t>NHS-0011</t>
  </si>
  <si>
    <t>Oncology</t>
  </si>
  <si>
    <t>Cancelled</t>
  </si>
  <si>
    <t>Miss Aisha Rahman</t>
  </si>
  <si>
    <t>61-75</t>
  </si>
  <si>
    <t>NHS-0012</t>
  </si>
  <si>
    <t>Mr George Williams</t>
  </si>
  <si>
    <t>NHS-0013</t>
  </si>
  <si>
    <t>NHS-0014</t>
  </si>
  <si>
    <t>Mr Edward Taylor</t>
  </si>
  <si>
    <t>NHS-0015</t>
  </si>
  <si>
    <t>King's College Hospital London</t>
  </si>
  <si>
    <t>London</t>
  </si>
  <si>
    <t>NHS-0016</t>
  </si>
  <si>
    <t>Mrs Nicola Roberts</t>
  </si>
  <si>
    <t>NHS-0017</t>
  </si>
  <si>
    <t>NHS-0018</t>
  </si>
  <si>
    <t>Mrs Emily Davies</t>
  </si>
  <si>
    <t>NHS-0019</t>
  </si>
  <si>
    <t>Miss Charlotte Brown</t>
  </si>
  <si>
    <t>NHS-0020</t>
  </si>
  <si>
    <t>Leeds Teaching Hospitals</t>
  </si>
  <si>
    <t>NHS-0021</t>
  </si>
  <si>
    <t>NHS-0022</t>
  </si>
  <si>
    <t>NHS-0023</t>
  </si>
  <si>
    <t>Emergency</t>
  </si>
  <si>
    <t>Mr Daniel Thompson</t>
  </si>
  <si>
    <t>NHS-0024</t>
  </si>
  <si>
    <t>NHS-0025</t>
  </si>
  <si>
    <t>Dr Mohammed Khan</t>
  </si>
  <si>
    <t>NHS-0026</t>
  </si>
  <si>
    <t>NHS-0027</t>
  </si>
  <si>
    <t>Mr Oliver Bennett</t>
  </si>
  <si>
    <t>NHS-0028</t>
  </si>
  <si>
    <t>NHS-0029</t>
  </si>
  <si>
    <t>NHS-0030</t>
  </si>
  <si>
    <t>Dr Thomas Evans</t>
  </si>
  <si>
    <t>NHS-0031</t>
  </si>
  <si>
    <t>Miss Lucy Morgan</t>
  </si>
  <si>
    <t>NHS-0032</t>
  </si>
  <si>
    <t>NHS-0033</t>
  </si>
  <si>
    <t>NHS-0034</t>
  </si>
  <si>
    <t>NHS-0035</t>
  </si>
  <si>
    <t>NHS-0036</t>
  </si>
  <si>
    <t>NHS-0037</t>
  </si>
  <si>
    <t>NHS-0038</t>
  </si>
  <si>
    <t>NHS-0039</t>
  </si>
  <si>
    <t>NHS-0040</t>
  </si>
  <si>
    <t>NHS-0041</t>
  </si>
  <si>
    <t>NHS-0042</t>
  </si>
  <si>
    <t>NHS-0043</t>
  </si>
  <si>
    <t>NHS-0044</t>
  </si>
  <si>
    <t>NHS-0045</t>
  </si>
  <si>
    <t>NHS-0046</t>
  </si>
  <si>
    <t>NHS-0047</t>
  </si>
  <si>
    <t>NHS-0048</t>
  </si>
  <si>
    <t>NHS-0049</t>
  </si>
  <si>
    <t>NHS-0050</t>
  </si>
  <si>
    <t>NHS-0051</t>
  </si>
  <si>
    <t>NHS-0052</t>
  </si>
  <si>
    <t>NHS-0053</t>
  </si>
  <si>
    <t>NHS-0054</t>
  </si>
  <si>
    <t>NHS-0055</t>
  </si>
  <si>
    <t>NHS-0056</t>
  </si>
  <si>
    <t>NHS-0057</t>
  </si>
  <si>
    <t>NHS-0058</t>
  </si>
  <si>
    <t>NHS-0059</t>
  </si>
  <si>
    <t>NHS-0060</t>
  </si>
  <si>
    <t>NHS-0061</t>
  </si>
  <si>
    <t>NHS-0062</t>
  </si>
  <si>
    <t>NHS-0063</t>
  </si>
  <si>
    <t>NHS-0064</t>
  </si>
  <si>
    <t>NHS-0065</t>
  </si>
  <si>
    <t>NHS-0066</t>
  </si>
  <si>
    <t>NHS-0067</t>
  </si>
  <si>
    <t>NHS-0068</t>
  </si>
  <si>
    <t>NHS-0069</t>
  </si>
  <si>
    <t>NHS-0070</t>
  </si>
  <si>
    <t>NHS-0071</t>
  </si>
  <si>
    <t>NHS-0072</t>
  </si>
  <si>
    <t>NHS-0073</t>
  </si>
  <si>
    <t>NHS-0074</t>
  </si>
  <si>
    <t>NHS-0075</t>
  </si>
  <si>
    <t>NHS-0076</t>
  </si>
  <si>
    <t>NHS-0077</t>
  </si>
  <si>
    <t>NHS-0078</t>
  </si>
  <si>
    <t>NHS-0079</t>
  </si>
  <si>
    <t>NHS-0080</t>
  </si>
  <si>
    <t>31/03/2024</t>
  </si>
  <si>
    <t>18/06/2024</t>
  </si>
  <si>
    <t>79</t>
  </si>
  <si>
    <t>NHS Number</t>
  </si>
  <si>
    <t>Waiting Days</t>
  </si>
  <si>
    <t>Waiting Category</t>
  </si>
  <si>
    <t>Breach</t>
  </si>
  <si>
    <t>Within 18 Weeks</t>
  </si>
  <si>
    <t>Emergency Target</t>
  </si>
  <si>
    <t>Trust Name</t>
  </si>
  <si>
    <t>Region</t>
  </si>
  <si>
    <t>Type</t>
  </si>
  <si>
    <t>City</t>
  </si>
  <si>
    <t>Teaching</t>
  </si>
  <si>
    <t>Leeds</t>
  </si>
  <si>
    <t>University</t>
  </si>
  <si>
    <t>Manchester</t>
  </si>
  <si>
    <t>Birmingham</t>
  </si>
  <si>
    <t>Sheffield</t>
  </si>
  <si>
    <t>Bristol</t>
  </si>
  <si>
    <t>Newcastle</t>
  </si>
  <si>
    <t>Nottingham</t>
  </si>
  <si>
    <t>Total Patients</t>
  </si>
  <si>
    <t>Average Wait (Days)</t>
  </si>
  <si>
    <t>Patients Seen</t>
  </si>
  <si>
    <t>Patients Waiting</t>
  </si>
  <si>
    <t>Breached 18 Weeks</t>
  </si>
  <si>
    <t>Max Wait (Days)</t>
  </si>
  <si>
    <t>Min Wait (Days)</t>
  </si>
  <si>
    <t>Midland</t>
  </si>
  <si>
    <t>Average Wait Days</t>
  </si>
  <si>
    <t>Row Labels</t>
  </si>
  <si>
    <t>Grand Total</t>
  </si>
  <si>
    <t>Avg Wait Days</t>
  </si>
  <si>
    <t>Column Labels</t>
  </si>
  <si>
    <t>Count of NHS Number</t>
  </si>
  <si>
    <t>NHS England — Patient Waiting Time Analysis Dashboard</t>
  </si>
  <si>
    <r>
      <rPr>
        <b/>
        <sz val="24"/>
        <color theme="0"/>
        <rFont val="Calibri"/>
        <family val="2"/>
        <scheme val="minor"/>
      </rPr>
      <t>79</t>
    </r>
    <r>
      <rPr>
        <b/>
        <sz val="11"/>
        <color theme="0"/>
        <rFont val="Calibri"/>
        <family val="2"/>
        <scheme val="minor"/>
      </rPr>
      <t xml:space="preserve"> </t>
    </r>
    <r>
      <rPr>
        <sz val="11"/>
        <color theme="0"/>
        <rFont val="Calibri"/>
        <family val="2"/>
        <scheme val="minor"/>
      </rPr>
      <t xml:space="preserve">
</t>
    </r>
    <r>
      <rPr>
        <b/>
        <sz val="12"/>
        <color theme="0"/>
        <rFont val="Calibri"/>
        <family val="2"/>
        <scheme val="minor"/>
      </rPr>
      <t>Total Patients</t>
    </r>
  </si>
  <si>
    <r>
      <rPr>
        <b/>
        <sz val="24"/>
        <color theme="0"/>
        <rFont val="Calibri"/>
        <family val="2"/>
        <scheme val="minor"/>
      </rPr>
      <t>105</t>
    </r>
    <r>
      <rPr>
        <sz val="11"/>
        <color theme="0"/>
        <rFont val="Calibri"/>
        <family val="2"/>
        <scheme val="minor"/>
      </rPr>
      <t xml:space="preserve">
</t>
    </r>
    <r>
      <rPr>
        <b/>
        <sz val="12"/>
        <color theme="0"/>
        <rFont val="Calibri"/>
        <family val="2"/>
        <scheme val="minor"/>
      </rPr>
      <t>Avg Wait Days</t>
    </r>
  </si>
  <si>
    <r>
      <rPr>
        <b/>
        <sz val="24"/>
        <color theme="0"/>
        <rFont val="Calibri"/>
        <family val="2"/>
        <scheme val="minor"/>
      </rPr>
      <t>31</t>
    </r>
    <r>
      <rPr>
        <sz val="11"/>
        <color theme="1"/>
        <rFont val="Calibri"/>
        <family val="2"/>
        <scheme val="minor"/>
      </rPr>
      <t xml:space="preserve">
</t>
    </r>
    <r>
      <rPr>
        <b/>
        <sz val="12"/>
        <color theme="0"/>
        <rFont val="Calibri"/>
        <family val="2"/>
        <scheme val="minor"/>
      </rPr>
      <t>Breached 18 Weeks</t>
    </r>
  </si>
  <si>
    <r>
      <rPr>
        <b/>
        <sz val="24"/>
        <color theme="0"/>
        <rFont val="Calibri"/>
        <family val="2"/>
        <scheme val="minor"/>
      </rPr>
      <t>57</t>
    </r>
    <r>
      <rPr>
        <sz val="11"/>
        <color theme="0"/>
        <rFont val="Calibri"/>
        <family val="2"/>
        <scheme val="minor"/>
      </rPr>
      <t xml:space="preserve">
</t>
    </r>
    <r>
      <rPr>
        <b/>
        <sz val="12"/>
        <color theme="0"/>
        <rFont val="Calibri"/>
        <family val="2"/>
        <scheme val="minor"/>
      </rPr>
      <t>Patients Seen</t>
    </r>
  </si>
  <si>
    <t>Avg Waiting Days</t>
  </si>
  <si>
    <t>Breach Rate %</t>
  </si>
  <si>
    <t>Emergency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</si>
</sst>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0">
    <font>
      <sz val="11"/>
      <color theme="1"/>
      <name val="Calibri"/>
      <family val="2"/>
      <scheme val="minor"/>
    </font>
    <font>
      <sz val="11"/>
      <color theme="1"/>
      <name val="Carlito"/>
    </font>
    <font>
      <b/>
      <sz val="11"/>
      <color theme="0"/>
      <name val="Calibri"/>
      <family val="2"/>
      <scheme val="minor"/>
    </font>
    <font>
      <sz val="11"/>
      <color theme="0"/>
      <name val="Calibri"/>
      <family val="2"/>
      <scheme val="minor"/>
    </font>
    <font>
      <b/>
      <sz val="20"/>
      <color theme="0"/>
      <name val="Calibri"/>
      <family val="2"/>
      <scheme val="minor"/>
    </font>
    <font>
      <b/>
      <sz val="24"/>
      <color theme="0"/>
      <name val="Calibri"/>
      <family val="2"/>
      <scheme val="minor"/>
    </font>
    <font>
      <b/>
      <sz val="12"/>
      <color theme="0"/>
      <name val="Calibri"/>
      <family val="2"/>
      <scheme val="minor"/>
    </font>
    <font>
      <b/>
      <sz val="11"/>
      <color rgb="FFFFFFFF"/>
      <name val="Calibri"/>
      <family val="2"/>
      <scheme val="minor"/>
    </font>
    <font>
      <sz val="11"/>
      <color rgb="FF000000"/>
      <name val="Calibri"/>
      <family val="2"/>
    </font>
    <font>
      <sz val="11"/>
      <color rgb="FF006100"/>
      <name val="Calibri"/>
      <family val="2"/>
      <scheme val="minor"/>
    </font>
  </fonts>
  <fills count="14">
    <fill>
      <patternFill patternType="none"/>
    </fill>
    <fill>
      <patternFill patternType="gray125"/>
    </fill>
    <fill>
      <patternFill patternType="solid">
        <fgColor theme="4" tint="0.79998168889431442"/>
        <bgColor theme="4" tint="0.79998168889431442"/>
      </patternFill>
    </fill>
    <fill>
      <patternFill patternType="solid">
        <fgColor rgb="FF003087"/>
        <bgColor indexed="64"/>
      </patternFill>
    </fill>
    <fill>
      <patternFill patternType="solid">
        <fgColor rgb="FF005EB8"/>
        <bgColor indexed="64"/>
      </patternFill>
    </fill>
    <fill>
      <patternFill patternType="solid">
        <fgColor rgb="FF41B6E6"/>
        <bgColor indexed="64"/>
      </patternFill>
    </fill>
    <fill>
      <patternFill patternType="solid">
        <fgColor rgb="FFDA2912"/>
        <bgColor indexed="64"/>
      </patternFill>
    </fill>
    <fill>
      <patternFill patternType="solid">
        <fgColor rgb="FF009639"/>
        <bgColor indexed="64"/>
      </patternFill>
    </fill>
    <fill>
      <patternFill patternType="solid">
        <fgColor rgb="FFFFC7C7"/>
        <bgColor indexed="64"/>
      </patternFill>
    </fill>
    <fill>
      <patternFill patternType="solid">
        <fgColor rgb="FFFFFFFF"/>
        <bgColor indexed="64"/>
      </patternFill>
    </fill>
    <fill>
      <patternFill patternType="solid">
        <fgColor rgb="FFC7FFC7"/>
        <bgColor indexed="64"/>
      </patternFill>
    </fill>
    <fill>
      <patternFill patternType="solid">
        <fgColor rgb="FFC6EFCE"/>
        <bgColor indexed="64"/>
      </patternFill>
    </fill>
    <fill>
      <patternFill patternType="solid">
        <fgColor rgb="FFFFA500"/>
        <bgColor indexed="64"/>
      </patternFill>
    </fill>
    <fill>
      <patternFill patternType="solid">
        <fgColor rgb="FFFF0000"/>
        <bgColor indexed="64"/>
      </patternFill>
    </fill>
  </fills>
  <borders count="12">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s>
  <cellStyleXfs count="1">
    <xf numFmtId="0" fontId="0" fillId="0" borderId="0"/>
  </cellStyleXfs>
  <cellXfs count="72">
    <xf numFmtId="0" fontId="0" fillId="0" borderId="0" xfId="0"/>
    <xf numFmtId="0" fontId="1" fillId="2" borderId="1" xfId="0" applyFont="1" applyFill="1" applyBorder="1"/>
    <xf numFmtId="0" fontId="1" fillId="2" borderId="1" xfId="0" applyNumberFormat="1" applyFont="1" applyFill="1" applyBorder="1" applyAlignment="1">
      <alignment horizontal="center"/>
    </xf>
    <xf numFmtId="14" fontId="1" fillId="2" borderId="1" xfId="0" applyNumberFormat="1" applyFont="1" applyFill="1" applyBorder="1"/>
    <xf numFmtId="1" fontId="1" fillId="2" borderId="1" xfId="0" applyNumberFormat="1" applyFont="1" applyFill="1" applyBorder="1" applyAlignment="1">
      <alignment horizontal="center"/>
    </xf>
    <xf numFmtId="0" fontId="1" fillId="0" borderId="1" xfId="0" applyFont="1" applyBorder="1"/>
    <xf numFmtId="0" fontId="1" fillId="0" borderId="1" xfId="0" applyNumberFormat="1" applyFont="1" applyBorder="1" applyAlignment="1">
      <alignment horizontal="center"/>
    </xf>
    <xf numFmtId="14" fontId="1" fillId="0" borderId="1" xfId="0" applyNumberFormat="1" applyFont="1" applyBorder="1"/>
    <xf numFmtId="1" fontId="1" fillId="0" borderId="1" xfId="0" applyNumberFormat="1" applyFont="1" applyBorder="1" applyAlignment="1">
      <alignment horizontal="center"/>
    </xf>
    <xf numFmtId="0" fontId="1" fillId="2" borderId="2" xfId="0" applyNumberFormat="1" applyFont="1" applyFill="1" applyBorder="1" applyAlignment="1">
      <alignment horizontal="center"/>
    </xf>
    <xf numFmtId="0" fontId="1" fillId="2" borderId="2" xfId="0" applyFont="1" applyFill="1" applyBorder="1"/>
    <xf numFmtId="14" fontId="1" fillId="2" borderId="2" xfId="0" applyNumberFormat="1" applyFont="1" applyFill="1" applyBorder="1"/>
    <xf numFmtId="1" fontId="1" fillId="2" borderId="2" xfId="0" applyNumberFormat="1" applyFont="1" applyFill="1" applyBorder="1" applyAlignment="1">
      <alignment horizontal="center"/>
    </xf>
    <xf numFmtId="0" fontId="1" fillId="0" borderId="3" xfId="0" applyNumberFormat="1" applyFont="1" applyBorder="1" applyAlignment="1">
      <alignment horizontal="center"/>
    </xf>
    <xf numFmtId="0" fontId="1" fillId="0" borderId="3" xfId="0" applyFont="1" applyBorder="1"/>
    <xf numFmtId="14" fontId="1" fillId="0" borderId="3" xfId="0" applyNumberFormat="1" applyFont="1" applyBorder="1"/>
    <xf numFmtId="1" fontId="1" fillId="0" borderId="3" xfId="0" applyNumberFormat="1" applyFont="1" applyBorder="1" applyAlignment="1">
      <alignment horizontal="center"/>
    </xf>
    <xf numFmtId="0" fontId="2" fillId="3" borderId="0" xfId="0" applyFont="1" applyFill="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0" fillId="3" borderId="0" xfId="0" applyFill="1"/>
    <xf numFmtId="0" fontId="0" fillId="3" borderId="0" xfId="0" applyFill="1" applyAlignment="1"/>
    <xf numFmtId="0" fontId="7" fillId="3" borderId="0" xfId="0" applyFont="1" applyFill="1"/>
    <xf numFmtId="0" fontId="0" fillId="8" borderId="0" xfId="0" applyFill="1"/>
    <xf numFmtId="22" fontId="0" fillId="8" borderId="0" xfId="0" applyNumberFormat="1" applyFill="1"/>
    <xf numFmtId="0" fontId="0" fillId="9" borderId="0" xfId="0" applyFill="1"/>
    <xf numFmtId="22" fontId="0" fillId="9" borderId="0" xfId="0" applyNumberFormat="1" applyFill="1"/>
    <xf numFmtId="0" fontId="0" fillId="10" borderId="0" xfId="0" applyFill="1"/>
    <xf numFmtId="22" fontId="0" fillId="10" borderId="0" xfId="0" applyNumberFormat="1" applyFill="1"/>
    <xf numFmtId="0" fontId="9" fillId="11" borderId="0" xfId="0" applyFont="1" applyFill="1"/>
    <xf numFmtId="0" fontId="7" fillId="12" borderId="0" xfId="0" applyFont="1" applyFill="1"/>
    <xf numFmtId="0" fontId="7" fillId="13" borderId="0" xfId="0" applyFont="1" applyFill="1"/>
    <xf numFmtId="0" fontId="3" fillId="4" borderId="4" xfId="0" applyFont="1" applyFill="1" applyBorder="1" applyAlignment="1">
      <alignment horizontal="center" vertical="center" wrapText="1"/>
    </xf>
    <xf numFmtId="0" fontId="3" fillId="4" borderId="5" xfId="0" applyFont="1" applyFill="1" applyBorder="1" applyAlignment="1">
      <alignment horizontal="center" vertical="center"/>
    </xf>
    <xf numFmtId="0" fontId="3" fillId="4" borderId="6"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0" xfId="0" applyFont="1" applyFill="1" applyBorder="1" applyAlignment="1">
      <alignment horizontal="center" vertical="center"/>
    </xf>
    <xf numFmtId="0" fontId="3" fillId="4" borderId="8" xfId="0" applyFont="1" applyFill="1" applyBorder="1" applyAlignment="1">
      <alignment horizontal="center" vertical="center"/>
    </xf>
    <xf numFmtId="0" fontId="3" fillId="4" borderId="9"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1" xfId="0" applyFont="1" applyFill="1" applyBorder="1" applyAlignment="1">
      <alignment horizontal="center" vertical="center"/>
    </xf>
    <xf numFmtId="0" fontId="3" fillId="5" borderId="4" xfId="0" applyFont="1" applyFill="1" applyBorder="1" applyAlignment="1">
      <alignment horizontal="center" vertical="center" wrapText="1"/>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6" borderId="4" xfId="0" applyFont="1" applyFill="1" applyBorder="1" applyAlignment="1">
      <alignment horizontal="center" vertical="center" wrapText="1"/>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0"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3" fillId="7" borderId="4" xfId="0" applyFont="1" applyFill="1" applyBorder="1" applyAlignment="1">
      <alignment horizontal="center" vertical="center" wrapText="1"/>
    </xf>
    <xf numFmtId="0" fontId="3" fillId="7" borderId="5" xfId="0" applyFont="1" applyFill="1" applyBorder="1" applyAlignment="1">
      <alignment horizontal="center" vertical="center"/>
    </xf>
    <xf numFmtId="0" fontId="3" fillId="7" borderId="6" xfId="0" applyFont="1" applyFill="1" applyBorder="1" applyAlignment="1">
      <alignment horizontal="center" vertical="center"/>
    </xf>
    <xf numFmtId="0" fontId="3" fillId="7" borderId="7" xfId="0" applyFont="1" applyFill="1" applyBorder="1" applyAlignment="1">
      <alignment horizontal="center" vertical="center"/>
    </xf>
    <xf numFmtId="0" fontId="3" fillId="7" borderId="0" xfId="0" applyFont="1" applyFill="1" applyBorder="1" applyAlignment="1">
      <alignment horizontal="center" vertical="center"/>
    </xf>
    <xf numFmtId="0" fontId="3" fillId="7" borderId="8" xfId="0" applyFont="1" applyFill="1" applyBorder="1" applyAlignment="1">
      <alignment horizontal="center" vertical="center"/>
    </xf>
    <xf numFmtId="0" fontId="3" fillId="7" borderId="9" xfId="0" applyFont="1" applyFill="1" applyBorder="1" applyAlignment="1">
      <alignment horizontal="center" vertical="center"/>
    </xf>
    <xf numFmtId="0" fontId="3" fillId="7" borderId="10" xfId="0" applyFont="1" applyFill="1" applyBorder="1" applyAlignment="1">
      <alignment horizontal="center" vertical="center"/>
    </xf>
    <xf numFmtId="0" fontId="3" fillId="7" borderId="11" xfId="0" applyFont="1" applyFill="1" applyBorder="1" applyAlignment="1">
      <alignment horizontal="center" vertical="center"/>
    </xf>
    <xf numFmtId="0" fontId="4" fillId="4" borderId="0" xfId="0" applyFont="1" applyFill="1" applyAlignment="1">
      <alignment horizontal="center" vertical="center"/>
    </xf>
    <xf numFmtId="165" fontId="0" fillId="0" borderId="0" xfId="0" applyNumberFormat="1"/>
  </cellXfs>
  <cellStyles count="1">
    <cellStyle name="Normal" xfId="0" builtinId="0"/>
  </cellStyles>
  <dxfs count="20">
    <dxf>
      <numFmt numFmtId="27" formatCode="dd/mm/yyyy\ hh:mm"/>
    </dxf>
    <dxf>
      <numFmt numFmtId="27" formatCode="dd/mm/yyyy\ hh:mm"/>
    </dxf>
    <dxf>
      <font>
        <b/>
        <color rgb="FFFFFFFF"/>
      </font>
      <fill>
        <patternFill patternType="solid">
          <fgColor indexed="64"/>
          <bgColor rgb="FF003087"/>
        </patternFill>
      </fill>
    </dxf>
    <dxf>
      <font>
        <b val="0"/>
        <i val="0"/>
        <strike val="0"/>
        <condense val="0"/>
        <extend val="0"/>
        <outline val="0"/>
        <shadow val="0"/>
        <u val="none"/>
        <vertAlign val="baseline"/>
        <sz val="11"/>
        <color theme="1"/>
        <name val="Carlito"/>
        <scheme val="none"/>
      </font>
      <numFmt numFmtId="0" formatCode="Genera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numFmt numFmtId="0" formatCode="Genera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numFmt numFmtId="0" formatCode="Genera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numFmt numFmtId="0" formatCode="Genera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numFmt numFmtId="1" formatCode="0"/>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numFmt numFmtId="19" formatCode="d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numFmt numFmtId="19" formatCode="d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numFmt numFmtId="0" formatCode="Genera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rlito"/>
        <scheme val="none"/>
      </font>
      <numFmt numFmtId="0" formatCode="Genera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rlito"/>
        <scheme val="none"/>
      </font>
      <alignment horizontal="center" vertical="bottom" textRotation="0" wrapText="0" indent="0" justifyLastLine="0" shrinkToFit="0" readingOrder="0"/>
    </dxf>
    <dxf>
      <border outline="0">
        <bottom style="thin">
          <color theme="4" tint="0.39997558519241921"/>
        </bottom>
      </border>
    </dxf>
    <dxf>
      <font>
        <b val="0"/>
        <i val="0"/>
        <strike val="0"/>
        <condense val="0"/>
        <extend val="0"/>
        <outline val="0"/>
        <shadow val="0"/>
        <u val="none"/>
        <vertAlign val="baseline"/>
        <sz val="11"/>
        <color theme="1"/>
        <name val="Carlito"/>
        <scheme val="none"/>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dxf>
  </dxfs>
  <tableStyles count="0" defaultTableStyle="TableStyleMedium2" defaultPivotStyle="PivotStyleLight16"/>
  <colors>
    <mruColors>
      <color rgb="FF009639"/>
      <color rgb="FFDA2912"/>
      <color rgb="FF41B6E6"/>
      <color rgb="FF005EB8"/>
      <color rgb="FF0030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onnections" Target="connections.xml"/><Relationship Id="rId18" Type="http://schemas.openxmlformats.org/officeDocument/2006/relationships/customXml" Target="../customXml/item1.xml"/><Relationship Id="rId26" Type="http://schemas.openxmlformats.org/officeDocument/2006/relationships/customXml" Target="../customXml/item9.xml"/><Relationship Id="rId3" Type="http://schemas.openxmlformats.org/officeDocument/2006/relationships/worksheet" Target="worksheets/sheet3.xml"/><Relationship Id="rId21" Type="http://schemas.openxmlformats.org/officeDocument/2006/relationships/customXml" Target="../customXml/item4.xml"/><Relationship Id="rId34"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5" Type="http://schemas.openxmlformats.org/officeDocument/2006/relationships/customXml" Target="../customXml/item8.xml"/><Relationship Id="rId33"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29"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7.xml"/><Relationship Id="rId32"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6.xml"/><Relationship Id="rId28" Type="http://schemas.openxmlformats.org/officeDocument/2006/relationships/customXml" Target="../customXml/item11.xml"/><Relationship Id="rId36" Type="http://schemas.microsoft.com/office/2006/relationships/vbaProject" Target="vbaProject.bin"/><Relationship Id="rId10" Type="http://schemas.openxmlformats.org/officeDocument/2006/relationships/pivotCacheDefinition" Target="pivotCache/pivotCacheDefinition3.xml"/><Relationship Id="rId19" Type="http://schemas.openxmlformats.org/officeDocument/2006/relationships/customXml" Target="../customXml/item2.xml"/><Relationship Id="rId31"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tyles" Target="styles.xml"/><Relationship Id="rId22" Type="http://schemas.openxmlformats.org/officeDocument/2006/relationships/customXml" Target="../customXml/item5.xml"/><Relationship Id="rId27" Type="http://schemas.openxmlformats.org/officeDocument/2006/relationships/customXml" Target="../customXml/item10.xml"/><Relationship Id="rId30" Type="http://schemas.openxmlformats.org/officeDocument/2006/relationships/customXml" Target="../customXml/item13.xml"/><Relationship Id="rId35" Type="http://schemas.openxmlformats.org/officeDocument/2006/relationships/customXml" Target="../customXml/item18.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[NHS_Patient_Waiting_Time_Analysis.xlsm]Pivot!PivotTable1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Waiting Days by Department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Pivot!$B$1</c:f>
              <c:strCache>
                <c:ptCount val="1"/>
                <c:pt idx="0">
                  <c:v>Total</c:v>
                </c:pt>
              </c:strCache>
            </c:strRef>
          </c:tx>
          <c:spPr>
            <a:solidFill>
              <a:schemeClr val="accent1"/>
            </a:solidFill>
            <a:ln>
              <a:noFill/>
            </a:ln>
            <a:effectLst/>
          </c:spPr>
          <c:invertIfNegative val="0"/>
          <c:cat>
            <c:strRef>
              <c:f>Pivot!$A$2:$A$8</c:f>
              <c:strCache>
                <c:ptCount val="6"/>
                <c:pt idx="0">
                  <c:v>A&amp;E</c:v>
                </c:pt>
                <c:pt idx="1">
                  <c:v>Cardiology</c:v>
                </c:pt>
                <c:pt idx="2">
                  <c:v>General Surgery</c:v>
                </c:pt>
                <c:pt idx="3">
                  <c:v>Neurology</c:v>
                </c:pt>
                <c:pt idx="4">
                  <c:v>Oncology</c:v>
                </c:pt>
                <c:pt idx="5">
                  <c:v>Orthopaedics</c:v>
                </c:pt>
              </c:strCache>
            </c:strRef>
          </c:cat>
          <c:val>
            <c:numRef>
              <c:f>Pivot!$B$2:$B$8</c:f>
              <c:numCache>
                <c:formatCode>0.0</c:formatCode>
                <c:ptCount val="6"/>
                <c:pt idx="0">
                  <c:v>118.33333333333333</c:v>
                </c:pt>
                <c:pt idx="1">
                  <c:v>125</c:v>
                </c:pt>
                <c:pt idx="2">
                  <c:v>97.63636363636364</c:v>
                </c:pt>
                <c:pt idx="3">
                  <c:v>101.30769230769231</c:v>
                </c:pt>
                <c:pt idx="4">
                  <c:v>97.8125</c:v>
                </c:pt>
                <c:pt idx="5">
                  <c:v>98.058823529411768</c:v>
                </c:pt>
              </c:numCache>
            </c:numRef>
          </c:val>
          <c:extLst>
            <c:ext xmlns:c16="http://schemas.microsoft.com/office/drawing/2014/chart" uri="{C3380CC4-5D6E-409C-BE32-E72D297353CC}">
              <c16:uniqueId val="{00000000-44C2-42FD-93F8-6DDA08964B74}"/>
            </c:ext>
          </c:extLst>
        </c:ser>
        <c:dLbls>
          <c:showLegendKey val="0"/>
          <c:showVal val="0"/>
          <c:showCatName val="0"/>
          <c:showSerName val="0"/>
          <c:showPercent val="0"/>
          <c:showBubbleSize val="0"/>
        </c:dLbls>
        <c:gapWidth val="219"/>
        <c:overlap val="-27"/>
        <c:axId val="800152495"/>
        <c:axId val="956008143"/>
      </c:barChart>
      <c:catAx>
        <c:axId val="800152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6008143"/>
        <c:crosses val="autoZero"/>
        <c:auto val="1"/>
        <c:lblAlgn val="ctr"/>
        <c:lblOffset val="100"/>
        <c:noMultiLvlLbl val="0"/>
      </c:catAx>
      <c:valAx>
        <c:axId val="95600814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0152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[NHS_Patient_Waiting_Time_Analysis.xlsm]Pivot!PivotTable3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Patients</a:t>
            </a:r>
            <a:r>
              <a:rPr lang="en-US" baseline="0"/>
              <a:t> Status Breakdown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s>
    <c:plotArea>
      <c:layout/>
      <c:pieChart>
        <c:varyColors val="1"/>
        <c:ser>
          <c:idx val="0"/>
          <c:order val="0"/>
          <c:tx>
            <c:strRef>
              <c:f>Pivot!$B$12:$B$13</c:f>
              <c:strCache>
                <c:ptCount val="1"/>
                <c:pt idx="0">
                  <c:v>Cancelled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9B-4687-ADE2-7BC8AC2427B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9B-4687-ADE2-7BC8AC2427B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99B-4687-ADE2-7BC8AC2427B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99B-4687-ADE2-7BC8AC2427B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99B-4687-ADE2-7BC8AC2427B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99B-4687-ADE2-7BC8AC2427B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99B-4687-ADE2-7BC8AC2427B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99B-4687-ADE2-7BC8AC2427B4}"/>
              </c:ext>
            </c:extLst>
          </c:dPt>
          <c:cat>
            <c:strRef>
              <c:f>Pivot!$A$14:$A$22</c:f>
              <c:strCache>
                <c:ptCount val="8"/>
                <c:pt idx="0">
                  <c:v>Birmingham University Hospitals</c:v>
                </c:pt>
                <c:pt idx="1">
                  <c:v>Bristol University Hospitals</c:v>
                </c:pt>
                <c:pt idx="2">
                  <c:v>King's College Hospital London</c:v>
                </c:pt>
                <c:pt idx="3">
                  <c:v>Leeds Teaching Hospitals</c:v>
                </c:pt>
                <c:pt idx="4">
                  <c:v>Manchester University NHS</c:v>
                </c:pt>
                <c:pt idx="5">
                  <c:v>Newcastle Upon Tyne Hospitals</c:v>
                </c:pt>
                <c:pt idx="6">
                  <c:v>Nottingham University Hospitals</c:v>
                </c:pt>
                <c:pt idx="7">
                  <c:v>Sheffield Teaching Hospitals</c:v>
                </c:pt>
              </c:strCache>
            </c:strRef>
          </c:cat>
          <c:val>
            <c:numRef>
              <c:f>Pivot!$B$14:$B$22</c:f>
              <c:numCache>
                <c:formatCode>General</c:formatCode>
                <c:ptCount val="8"/>
                <c:pt idx="2">
                  <c:v>1</c:v>
                </c:pt>
                <c:pt idx="3">
                  <c:v>1</c:v>
                </c:pt>
                <c:pt idx="6">
                  <c:v>2</c:v>
                </c:pt>
                <c:pt idx="7">
                  <c:v>2</c:v>
                </c:pt>
              </c:numCache>
            </c:numRef>
          </c:val>
          <c:extLst>
            <c:ext xmlns:c16="http://schemas.microsoft.com/office/drawing/2014/chart" uri="{C3380CC4-5D6E-409C-BE32-E72D297353CC}">
              <c16:uniqueId val="{00000010-E99B-4687-ADE2-7BC8AC2427B4}"/>
            </c:ext>
          </c:extLst>
        </c:ser>
        <c:ser>
          <c:idx val="1"/>
          <c:order val="1"/>
          <c:tx>
            <c:strRef>
              <c:f>Pivot!$C$12:$C$13</c:f>
              <c:strCache>
                <c:ptCount val="1"/>
                <c:pt idx="0">
                  <c:v>Seen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1-7964-472A-A31C-7FE7E9DBA66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3-7964-472A-A31C-7FE7E9DBA66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5-7964-472A-A31C-7FE7E9DBA66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7-7964-472A-A31C-7FE7E9DBA66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9-7964-472A-A31C-7FE7E9DBA66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B-7964-472A-A31C-7FE7E9DBA66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D-7964-472A-A31C-7FE7E9DBA66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F-7964-472A-A31C-7FE7E9DBA661}"/>
              </c:ext>
            </c:extLst>
          </c:dPt>
          <c:cat>
            <c:strRef>
              <c:f>Pivot!$A$14:$A$22</c:f>
              <c:strCache>
                <c:ptCount val="8"/>
                <c:pt idx="0">
                  <c:v>Birmingham University Hospitals</c:v>
                </c:pt>
                <c:pt idx="1">
                  <c:v>Bristol University Hospitals</c:v>
                </c:pt>
                <c:pt idx="2">
                  <c:v>King's College Hospital London</c:v>
                </c:pt>
                <c:pt idx="3">
                  <c:v>Leeds Teaching Hospitals</c:v>
                </c:pt>
                <c:pt idx="4">
                  <c:v>Manchester University NHS</c:v>
                </c:pt>
                <c:pt idx="5">
                  <c:v>Newcastle Upon Tyne Hospitals</c:v>
                </c:pt>
                <c:pt idx="6">
                  <c:v>Nottingham University Hospitals</c:v>
                </c:pt>
                <c:pt idx="7">
                  <c:v>Sheffield Teaching Hospitals</c:v>
                </c:pt>
              </c:strCache>
            </c:strRef>
          </c:cat>
          <c:val>
            <c:numRef>
              <c:f>Pivot!$C$14:$C$22</c:f>
              <c:numCache>
                <c:formatCode>General</c:formatCode>
                <c:ptCount val="8"/>
                <c:pt idx="0">
                  <c:v>3</c:v>
                </c:pt>
                <c:pt idx="1">
                  <c:v>5</c:v>
                </c:pt>
                <c:pt idx="2">
                  <c:v>4</c:v>
                </c:pt>
                <c:pt idx="3">
                  <c:v>7</c:v>
                </c:pt>
                <c:pt idx="4">
                  <c:v>6</c:v>
                </c:pt>
                <c:pt idx="5">
                  <c:v>11</c:v>
                </c:pt>
                <c:pt idx="6">
                  <c:v>11</c:v>
                </c:pt>
                <c:pt idx="7">
                  <c:v>10</c:v>
                </c:pt>
              </c:numCache>
            </c:numRef>
          </c:val>
          <c:extLst>
            <c:ext xmlns:c16="http://schemas.microsoft.com/office/drawing/2014/chart" uri="{C3380CC4-5D6E-409C-BE32-E72D297353CC}">
              <c16:uniqueId val="{00000033-E99B-4687-ADE2-7BC8AC2427B4}"/>
            </c:ext>
          </c:extLst>
        </c:ser>
        <c:ser>
          <c:idx val="2"/>
          <c:order val="2"/>
          <c:tx>
            <c:strRef>
              <c:f>Pivot!$D$12:$D$13</c:f>
              <c:strCache>
                <c:ptCount val="1"/>
                <c:pt idx="0">
                  <c:v>Waiting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1-7964-472A-A31C-7FE7E9DBA66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3-7964-472A-A31C-7FE7E9DBA66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5-7964-472A-A31C-7FE7E9DBA66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7-7964-472A-A31C-7FE7E9DBA66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9-7964-472A-A31C-7FE7E9DBA66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B-7964-472A-A31C-7FE7E9DBA66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D-7964-472A-A31C-7FE7E9DBA66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F-7964-472A-A31C-7FE7E9DBA661}"/>
              </c:ext>
            </c:extLst>
          </c:dPt>
          <c:cat>
            <c:strRef>
              <c:f>Pivot!$A$14:$A$22</c:f>
              <c:strCache>
                <c:ptCount val="8"/>
                <c:pt idx="0">
                  <c:v>Birmingham University Hospitals</c:v>
                </c:pt>
                <c:pt idx="1">
                  <c:v>Bristol University Hospitals</c:v>
                </c:pt>
                <c:pt idx="2">
                  <c:v>King's College Hospital London</c:v>
                </c:pt>
                <c:pt idx="3">
                  <c:v>Leeds Teaching Hospitals</c:v>
                </c:pt>
                <c:pt idx="4">
                  <c:v>Manchester University NHS</c:v>
                </c:pt>
                <c:pt idx="5">
                  <c:v>Newcastle Upon Tyne Hospitals</c:v>
                </c:pt>
                <c:pt idx="6">
                  <c:v>Nottingham University Hospitals</c:v>
                </c:pt>
                <c:pt idx="7">
                  <c:v>Sheffield Teaching Hospitals</c:v>
                </c:pt>
              </c:strCache>
            </c:strRef>
          </c:cat>
          <c:val>
            <c:numRef>
              <c:f>Pivot!$D$14:$D$22</c:f>
              <c:numCache>
                <c:formatCode>General</c:formatCode>
                <c:ptCount val="8"/>
                <c:pt idx="0">
                  <c:v>6</c:v>
                </c:pt>
                <c:pt idx="1">
                  <c:v>1</c:v>
                </c:pt>
                <c:pt idx="2">
                  <c:v>1</c:v>
                </c:pt>
                <c:pt idx="3">
                  <c:v>3</c:v>
                </c:pt>
                <c:pt idx="4">
                  <c:v>1</c:v>
                </c:pt>
                <c:pt idx="5">
                  <c:v>2</c:v>
                </c:pt>
                <c:pt idx="6">
                  <c:v>2</c:v>
                </c:pt>
              </c:numCache>
            </c:numRef>
          </c:val>
          <c:extLst>
            <c:ext xmlns:c16="http://schemas.microsoft.com/office/drawing/2014/chart" uri="{C3380CC4-5D6E-409C-BE32-E72D297353CC}">
              <c16:uniqueId val="{00000034-E99B-4687-ADE2-7BC8AC2427B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[NHS_Patient_Waiting_Time_Analysis.xlsm]Pivot!PivotTable4</c:name>
    <c:fmtId val="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Pivot!$B$26:$B$27</c:f>
              <c:strCache>
                <c:ptCount val="1"/>
                <c:pt idx="0">
                  <c:v>Emergency</c:v>
                </c:pt>
              </c:strCache>
            </c:strRef>
          </c:tx>
          <c:spPr>
            <a:solidFill>
              <a:schemeClr val="accent1"/>
            </a:solidFill>
            <a:ln>
              <a:noFill/>
            </a:ln>
            <a:effectLst/>
          </c:spPr>
          <c:invertIfNegative val="0"/>
          <c:cat>
            <c:strRef>
              <c:f>Pivot!$A$28:$A$32</c:f>
              <c:strCache>
                <c:ptCount val="4"/>
                <c:pt idx="0">
                  <c:v>London</c:v>
                </c:pt>
                <c:pt idx="1">
                  <c:v>Midlands</c:v>
                </c:pt>
                <c:pt idx="2">
                  <c:v>North</c:v>
                </c:pt>
                <c:pt idx="3">
                  <c:v>South</c:v>
                </c:pt>
              </c:strCache>
            </c:strRef>
          </c:cat>
          <c:val>
            <c:numRef>
              <c:f>Pivot!$B$28:$B$32</c:f>
              <c:numCache>
                <c:formatCode>General</c:formatCode>
                <c:ptCount val="4"/>
                <c:pt idx="0">
                  <c:v>1</c:v>
                </c:pt>
                <c:pt idx="1">
                  <c:v>3</c:v>
                </c:pt>
                <c:pt idx="2">
                  <c:v>4</c:v>
                </c:pt>
              </c:numCache>
            </c:numRef>
          </c:val>
          <c:extLst>
            <c:ext xmlns:c16="http://schemas.microsoft.com/office/drawing/2014/chart" uri="{C3380CC4-5D6E-409C-BE32-E72D297353CC}">
              <c16:uniqueId val="{00000000-D882-446B-9D5D-70DE173C7CA5}"/>
            </c:ext>
          </c:extLst>
        </c:ser>
        <c:ser>
          <c:idx val="1"/>
          <c:order val="1"/>
          <c:tx>
            <c:strRef>
              <c:f>Pivot!$C$26:$C$27</c:f>
              <c:strCache>
                <c:ptCount val="1"/>
                <c:pt idx="0">
                  <c:v>Routine</c:v>
                </c:pt>
              </c:strCache>
            </c:strRef>
          </c:tx>
          <c:spPr>
            <a:solidFill>
              <a:schemeClr val="accent2"/>
            </a:solidFill>
            <a:ln>
              <a:noFill/>
            </a:ln>
            <a:effectLst/>
          </c:spPr>
          <c:invertIfNegative val="0"/>
          <c:cat>
            <c:strRef>
              <c:f>Pivot!$A$28:$A$32</c:f>
              <c:strCache>
                <c:ptCount val="4"/>
                <c:pt idx="0">
                  <c:v>London</c:v>
                </c:pt>
                <c:pt idx="1">
                  <c:v>Midlands</c:v>
                </c:pt>
                <c:pt idx="2">
                  <c:v>North</c:v>
                </c:pt>
                <c:pt idx="3">
                  <c:v>South</c:v>
                </c:pt>
              </c:strCache>
            </c:strRef>
          </c:cat>
          <c:val>
            <c:numRef>
              <c:f>Pivot!$C$28:$C$32</c:f>
              <c:numCache>
                <c:formatCode>General</c:formatCode>
                <c:ptCount val="4"/>
                <c:pt idx="0">
                  <c:v>2</c:v>
                </c:pt>
                <c:pt idx="1">
                  <c:v>14</c:v>
                </c:pt>
                <c:pt idx="2">
                  <c:v>27</c:v>
                </c:pt>
                <c:pt idx="3">
                  <c:v>5</c:v>
                </c:pt>
              </c:numCache>
            </c:numRef>
          </c:val>
          <c:extLst>
            <c:ext xmlns:c16="http://schemas.microsoft.com/office/drawing/2014/chart" uri="{C3380CC4-5D6E-409C-BE32-E72D297353CC}">
              <c16:uniqueId val="{00000001-D882-446B-9D5D-70DE173C7CA5}"/>
            </c:ext>
          </c:extLst>
        </c:ser>
        <c:ser>
          <c:idx val="2"/>
          <c:order val="2"/>
          <c:tx>
            <c:strRef>
              <c:f>Pivot!$D$26:$D$27</c:f>
              <c:strCache>
                <c:ptCount val="1"/>
                <c:pt idx="0">
                  <c:v>Urgent</c:v>
                </c:pt>
              </c:strCache>
            </c:strRef>
          </c:tx>
          <c:spPr>
            <a:solidFill>
              <a:schemeClr val="accent3"/>
            </a:solidFill>
            <a:ln>
              <a:noFill/>
            </a:ln>
            <a:effectLst/>
          </c:spPr>
          <c:invertIfNegative val="0"/>
          <c:cat>
            <c:strRef>
              <c:f>Pivot!$A$28:$A$32</c:f>
              <c:strCache>
                <c:ptCount val="4"/>
                <c:pt idx="0">
                  <c:v>London</c:v>
                </c:pt>
                <c:pt idx="1">
                  <c:v>Midlands</c:v>
                </c:pt>
                <c:pt idx="2">
                  <c:v>North</c:v>
                </c:pt>
                <c:pt idx="3">
                  <c:v>South</c:v>
                </c:pt>
              </c:strCache>
            </c:strRef>
          </c:cat>
          <c:val>
            <c:numRef>
              <c:f>Pivot!$D$28:$D$32</c:f>
              <c:numCache>
                <c:formatCode>General</c:formatCode>
                <c:ptCount val="4"/>
                <c:pt idx="0">
                  <c:v>3</c:v>
                </c:pt>
                <c:pt idx="1">
                  <c:v>7</c:v>
                </c:pt>
                <c:pt idx="2">
                  <c:v>12</c:v>
                </c:pt>
                <c:pt idx="3">
                  <c:v>1</c:v>
                </c:pt>
              </c:numCache>
            </c:numRef>
          </c:val>
          <c:extLst>
            <c:ext xmlns:c16="http://schemas.microsoft.com/office/drawing/2014/chart" uri="{C3380CC4-5D6E-409C-BE32-E72D297353CC}">
              <c16:uniqueId val="{00000002-D882-446B-9D5D-70DE173C7CA5}"/>
            </c:ext>
          </c:extLst>
        </c:ser>
        <c:dLbls>
          <c:showLegendKey val="0"/>
          <c:showVal val="0"/>
          <c:showCatName val="0"/>
          <c:showSerName val="0"/>
          <c:showPercent val="0"/>
          <c:showBubbleSize val="0"/>
        </c:dLbls>
        <c:gapWidth val="219"/>
        <c:overlap val="-27"/>
        <c:axId val="690431167"/>
        <c:axId val="110950239"/>
      </c:barChart>
      <c:catAx>
        <c:axId val="690431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950239"/>
        <c:crosses val="autoZero"/>
        <c:auto val="1"/>
        <c:lblAlgn val="ctr"/>
        <c:lblOffset val="100"/>
        <c:noMultiLvlLbl val="0"/>
      </c:catAx>
      <c:valAx>
        <c:axId val="1109502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0431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342900</xdr:colOff>
      <xdr:row>0</xdr:row>
      <xdr:rowOff>28575</xdr:rowOff>
    </xdr:from>
    <xdr:to>
      <xdr:col>5</xdr:col>
      <xdr:colOff>523875</xdr:colOff>
      <xdr:row>8</xdr:row>
      <xdr:rowOff>76200</xdr:rowOff>
    </xdr:to>
    <mc:AlternateContent xmlns:mc="http://schemas.openxmlformats.org/markup-compatibility/2006" xmlns:a14="http://schemas.microsoft.com/office/drawing/2010/main">
      <mc:Choice Requires="a14">
        <xdr:graphicFrame macro="">
          <xdr:nvGraphicFramePr>
            <xdr:cNvPr id="2" name="Midlands">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Midlands"/>
            </a:graphicData>
          </a:graphic>
        </xdr:graphicFrame>
      </mc:Choice>
      <mc:Fallback xmlns="">
        <xdr:sp macro="" textlink="">
          <xdr:nvSpPr>
            <xdr:cNvPr id="0" name=""/>
            <xdr:cNvSpPr>
              <a:spLocks noTextEdit="1"/>
            </xdr:cNvSpPr>
          </xdr:nvSpPr>
          <xdr:spPr>
            <a:xfrm>
              <a:off x="3457575" y="28575"/>
              <a:ext cx="1828800" cy="15716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404812</xdr:colOff>
      <xdr:row>9</xdr:row>
      <xdr:rowOff>23811</xdr:rowOff>
    </xdr:from>
    <xdr:to>
      <xdr:col>8</xdr:col>
      <xdr:colOff>100012</xdr:colOff>
      <xdr:row>24</xdr:row>
      <xdr:rowOff>104774</xdr:rowOff>
    </xdr:to>
    <xdr:graphicFrame macro="">
      <xdr:nvGraphicFramePr>
        <xdr:cNvPr id="2" name="Chart 2">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428625</xdr:colOff>
      <xdr:row>9</xdr:row>
      <xdr:rowOff>4762</xdr:rowOff>
    </xdr:from>
    <xdr:to>
      <xdr:col>16</xdr:col>
      <xdr:colOff>123825</xdr:colOff>
      <xdr:row>24</xdr:row>
      <xdr:rowOff>95250</xdr:rowOff>
    </xdr:to>
    <xdr:graphicFrame macro="">
      <xdr:nvGraphicFramePr>
        <xdr:cNvPr id="3" name="Chart 3">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390524</xdr:colOff>
      <xdr:row>26</xdr:row>
      <xdr:rowOff>71437</xdr:rowOff>
    </xdr:from>
    <xdr:to>
      <xdr:col>16</xdr:col>
      <xdr:colOff>76199</xdr:colOff>
      <xdr:row>39</xdr:row>
      <xdr:rowOff>152400</xdr:rowOff>
    </xdr:to>
    <xdr:graphicFrame macro="">
      <xdr:nvGraphicFramePr>
        <xdr:cNvPr id="5" name="Chart 6">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17</xdr:col>
          <xdr:colOff>381000</xdr:colOff>
          <xdr:row>4</xdr:row>
          <xdr:rowOff>381000</xdr:rowOff>
        </xdr:from>
        <xdr:to>
          <xdr:col>20</xdr:col>
          <xdr:colOff>447675</xdr:colOff>
          <xdr:row>7</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Report Formatting</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lman Hayder" refreshedDate="46225.969764930553" createdVersion="6" refreshedVersion="6" minRefreshableVersion="3" recordCount="79" xr:uid="{914B9C12-C101-4F24-B343-B67C7F5E8B2A}">
  <cacheSource type="worksheet">
    <worksheetSource ref="B1:M80" sheet="PQ Output"/>
  </cacheSource>
  <cacheFields count="12">
    <cacheField name="Birmingham University Hospitals" numFmtId="0">
      <sharedItems count="8">
        <s v="Birmingham University Hospitals"/>
        <s v="Nottingham University Hospitals"/>
        <s v="Sheffield Teaching Hospitals"/>
        <s v="Manchester University NHS"/>
        <s v="Newcastle Upon Tyne Hospitals"/>
        <s v="Bristol University Hospitals"/>
        <s v="King's College Hospital London"/>
        <s v="Leeds Teaching Hospitals"/>
      </sharedItems>
    </cacheField>
    <cacheField name="Midlands" numFmtId="0">
      <sharedItems count="4">
        <s v="Midlands"/>
        <s v="North"/>
        <s v="South"/>
        <s v="London"/>
      </sharedItems>
    </cacheField>
    <cacheField name="Orthopaedics" numFmtId="0">
      <sharedItems count="6">
        <s v="Cardiology"/>
        <s v="General Surgery"/>
        <s v="A&amp;E"/>
        <s v="Neurology"/>
        <s v="Orthopaedics"/>
        <s v="Oncology"/>
      </sharedItems>
    </cacheField>
    <cacheField name="31/03/2024" numFmtId="22">
      <sharedItems containsSemiMixedTypes="0" containsNonDate="0" containsDate="1" containsString="0" minDate="2024-01-02T00:00:00" maxDate="2024-07-01T00:00:00"/>
    </cacheField>
    <cacheField name="18/06/2024" numFmtId="22">
      <sharedItems containsSemiMixedTypes="0" containsNonDate="0" containsDate="1" containsString="0" minDate="2024-02-04T00:00:00" maxDate="2024-12-15T00:00:00"/>
    </cacheField>
    <cacheField name="Waiting Days" numFmtId="0">
      <sharedItems containsSemiMixedTypes="0" containsString="0" containsNumber="1" containsInteger="1" minValue="14" maxValue="179"/>
    </cacheField>
    <cacheField name="Urgent" numFmtId="0">
      <sharedItems/>
    </cacheField>
    <cacheField name="Seen" numFmtId="0">
      <sharedItems count="3">
        <s v="Waiting"/>
        <s v="Seen"/>
        <s v="Cancelled"/>
      </sharedItems>
    </cacheField>
    <cacheField name="Miss Sophie Clarke" numFmtId="0">
      <sharedItems/>
    </cacheField>
    <cacheField name="76+" numFmtId="0">
      <sharedItems/>
    </cacheField>
    <cacheField name="Yes" numFmtId="0">
      <sharedItems/>
    </cacheField>
    <cacheField name="Waiting Category" numFmtId="0">
      <sharedItems/>
    </cacheField>
  </cacheFields>
  <extLst>
    <ext xmlns:x14="http://schemas.microsoft.com/office/spreadsheetml/2009/9/main" uri="{725AE2AE-9491-48be-B2B4-4EB974FC3084}">
      <x14:pivotCacheDefinition pivotCacheId="22650632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lman Hayder" refreshedDate="46225.975750578706" createdVersion="6" refreshedVersion="6" minRefreshableVersion="3" recordCount="79" xr:uid="{30A89C04-EBD7-49F1-A5A5-9F0829A2B686}">
  <cacheSource type="worksheet">
    <worksheetSource ref="A1:M80" sheet="PQ Output"/>
  </cacheSource>
  <cacheFields count="13">
    <cacheField name="NHS Number" numFmtId="0">
      <sharedItems/>
    </cacheField>
    <cacheField name="Birmingham University Hospitals" numFmtId="0">
      <sharedItems count="8">
        <s v="Birmingham University Hospitals"/>
        <s v="Nottingham University Hospitals"/>
        <s v="Sheffield Teaching Hospitals"/>
        <s v="Manchester University NHS"/>
        <s v="Newcastle Upon Tyne Hospitals"/>
        <s v="Bristol University Hospitals"/>
        <s v="King's College Hospital London"/>
        <s v="Leeds Teaching Hospitals"/>
      </sharedItems>
    </cacheField>
    <cacheField name="Midlands" numFmtId="0">
      <sharedItems count="4">
        <s v="Midlands"/>
        <s v="North"/>
        <s v="South"/>
        <s v="London"/>
      </sharedItems>
    </cacheField>
    <cacheField name="Orthopaedics" numFmtId="0">
      <sharedItems/>
    </cacheField>
    <cacheField name="31/03/2024" numFmtId="22">
      <sharedItems containsSemiMixedTypes="0" containsNonDate="0" containsDate="1" containsString="0" minDate="2024-01-02T00:00:00" maxDate="2024-07-01T00:00:00"/>
    </cacheField>
    <cacheField name="18/06/2024" numFmtId="22">
      <sharedItems containsSemiMixedTypes="0" containsNonDate="0" containsDate="1" containsString="0" minDate="2024-02-04T00:00:00" maxDate="2024-12-15T00:00:00"/>
    </cacheField>
    <cacheField name="Waiting Days" numFmtId="0">
      <sharedItems containsSemiMixedTypes="0" containsString="0" containsNumber="1" containsInteger="1" minValue="14" maxValue="179"/>
    </cacheField>
    <cacheField name="Urgent" numFmtId="0">
      <sharedItems count="3">
        <s v="Routine"/>
        <s v="Urgent"/>
        <s v="Emergency"/>
      </sharedItems>
    </cacheField>
    <cacheField name="Seen" numFmtId="0">
      <sharedItems count="3">
        <s v="Waiting"/>
        <s v="Seen"/>
        <s v="Cancelled"/>
      </sharedItems>
    </cacheField>
    <cacheField name="Miss Sophie Clarke" numFmtId="0">
      <sharedItems/>
    </cacheField>
    <cacheField name="76+" numFmtId="0">
      <sharedItems/>
    </cacheField>
    <cacheField name="Yes" numFmtId="0">
      <sharedItems/>
    </cacheField>
    <cacheField name="Waiting Category"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ulman Hayder" refreshedDate="46229.911051157411" backgroundQuery="1" createdVersion="6" refreshedVersion="6" minRefreshableVersion="3" recordCount="0" supportSubquery="1" supportAdvancedDrill="1" xr:uid="{96003A40-B4EC-4507-8CFD-1A70C6354585}">
  <cacheSource type="external" connectionId="2"/>
  <cacheFields count="5">
    <cacheField name="[Measures].[Total Patients]" caption="Total Patients" numFmtId="0" hierarchy="14" level="32767"/>
    <cacheField name="[Measures].[Avg Waiting Days]" caption="Avg Waiting Days" numFmtId="0" hierarchy="15" level="32767"/>
    <cacheField name="[Measures].[Breach Rate %]" caption="Breach Rate %" numFmtId="0" hierarchy="16" level="32767"/>
    <cacheField name="[Measures].[Emergency Count]" caption="Emergency Count" numFmtId="0" hierarchy="17" level="32767"/>
    <cacheField name="[Table1_2].[Birmingham University Hospitals].[Birmingham University Hospitals]" caption="Birmingham University Hospitals" numFmtId="0" hierarchy="1" level="1">
      <sharedItems count="8">
        <s v="Birmingham University Hospitals"/>
        <s v="Bristol University Hospitals"/>
        <s v="King's College Hospital London"/>
        <s v="Leeds Teaching Hospitals"/>
        <s v="Manchester University NHS"/>
        <s v="Newcastle Upon Tyne Hospitals"/>
        <s v="Nottingham University Hospitals"/>
        <s v="Sheffield Teaching Hospitals"/>
      </sharedItems>
    </cacheField>
  </cacheFields>
  <cacheHierarchies count="20">
    <cacheHierarchy uniqueName="[Table1_2].[NHS Number]" caption="NHS Number" attribute="1" defaultMemberUniqueName="[Table1_2].[NHS Number].[All]" allUniqueName="[Table1_2].[NHS Number].[All]" dimensionUniqueName="[Table1_2]" displayFolder="" count="0" memberValueDatatype="130" unbalanced="0"/>
    <cacheHierarchy uniqueName="[Table1_2].[Birmingham University Hospitals]" caption="Birmingham University Hospitals" attribute="1" defaultMemberUniqueName="[Table1_2].[Birmingham University Hospitals].[All]" allUniqueName="[Table1_2].[Birmingham University Hospitals].[All]" dimensionUniqueName="[Table1_2]" displayFolder="" count="2" memberValueDatatype="130" unbalanced="0">
      <fieldsUsage count="2">
        <fieldUsage x="-1"/>
        <fieldUsage x="4"/>
      </fieldsUsage>
    </cacheHierarchy>
    <cacheHierarchy uniqueName="[Table1_2].[Midlands]" caption="Midlands" attribute="1" defaultMemberUniqueName="[Table1_2].[Midlands].[All]" allUniqueName="[Table1_2].[Midlands].[All]" dimensionUniqueName="[Table1_2]" displayFolder="" count="0" memberValueDatatype="130" unbalanced="0"/>
    <cacheHierarchy uniqueName="[Table1_2].[Orthopaedics]" caption="Orthopaedics" attribute="1" defaultMemberUniqueName="[Table1_2].[Orthopaedics].[All]" allUniqueName="[Table1_2].[Orthopaedics].[All]" dimensionUniqueName="[Table1_2]" displayFolder="" count="0" memberValueDatatype="130" unbalanced="0"/>
    <cacheHierarchy uniqueName="[Table1_2].[31/03/2024]" caption="31/03/2024" attribute="1" time="1" defaultMemberUniqueName="[Table1_2].[31/03/2024].[All]" allUniqueName="[Table1_2].[31/03/2024].[All]" dimensionUniqueName="[Table1_2]" displayFolder="" count="0" memberValueDatatype="7" unbalanced="0"/>
    <cacheHierarchy uniqueName="[Table1_2].[18/06/2024]" caption="18/06/2024" attribute="1" time="1" defaultMemberUniqueName="[Table1_2].[18/06/2024].[All]" allUniqueName="[Table1_2].[18/06/2024].[All]" dimensionUniqueName="[Table1_2]" displayFolder="" count="0" memberValueDatatype="7" unbalanced="0"/>
    <cacheHierarchy uniqueName="[Table1_2].[Waiting Days]" caption="Waiting Days" attribute="1" defaultMemberUniqueName="[Table1_2].[Waiting Days].[All]" allUniqueName="[Table1_2].[Waiting Days].[All]" dimensionUniqueName="[Table1_2]" displayFolder="" count="0" memberValueDatatype="20" unbalanced="0"/>
    <cacheHierarchy uniqueName="[Table1_2].[Urgent]" caption="Urgent" attribute="1" defaultMemberUniqueName="[Table1_2].[Urgent].[All]" allUniqueName="[Table1_2].[Urgent].[All]" dimensionUniqueName="[Table1_2]" displayFolder="" count="0" memberValueDatatype="130" unbalanced="0"/>
    <cacheHierarchy uniqueName="[Table1_2].[Seen]" caption="Seen" attribute="1" defaultMemberUniqueName="[Table1_2].[Seen].[All]" allUniqueName="[Table1_2].[Seen].[All]" dimensionUniqueName="[Table1_2]" displayFolder="" count="0" memberValueDatatype="130" unbalanced="0"/>
    <cacheHierarchy uniqueName="[Table1_2].[Miss Sophie Clarke]" caption="Miss Sophie Clarke" attribute="1" defaultMemberUniqueName="[Table1_2].[Miss Sophie Clarke].[All]" allUniqueName="[Table1_2].[Miss Sophie Clarke].[All]" dimensionUniqueName="[Table1_2]" displayFolder="" count="0" memberValueDatatype="130" unbalanced="0"/>
    <cacheHierarchy uniqueName="[Table1_2].[76+]" caption="76+" attribute="1" defaultMemberUniqueName="[Table1_2].[76+].[All]" allUniqueName="[Table1_2].[76+].[All]" dimensionUniqueName="[Table1_2]" displayFolder="" count="0" memberValueDatatype="130" unbalanced="0"/>
    <cacheHierarchy uniqueName="[Table1_2].[Yes]" caption="Yes" attribute="1" defaultMemberUniqueName="[Table1_2].[Yes].[All]" allUniqueName="[Table1_2].[Yes].[All]" dimensionUniqueName="[Table1_2]" displayFolder="" count="0" memberValueDatatype="130" unbalanced="0"/>
    <cacheHierarchy uniqueName="[Table1_2].[Waiting Category]" caption="Waiting Category" attribute="1" defaultMemberUniqueName="[Table1_2].[Waiting Category].[All]" allUniqueName="[Table1_2].[Waiting Category].[All]" dimensionUniqueName="[Table1_2]" displayFolder="" count="0" memberValueDatatype="130" unbalanced="0"/>
    <cacheHierarchy uniqueName="[Table1_2].[Target Status]" caption="Target Status" attribute="1" defaultMemberUniqueName="[Table1_2].[Target Status].[All]" allUniqueName="[Table1_2].[Target Status].[All]" dimensionUniqueName="[Table1_2]" displayFolder="" count="0" memberValueDatatype="130" unbalanced="0"/>
    <cacheHierarchy uniqueName="[Measures].[Total Patients]" caption="Total Patients" measure="1" displayFolder="" measureGroup="Table1_2" count="0" oneField="1">
      <fieldsUsage count="1">
        <fieldUsage x="0"/>
      </fieldsUsage>
    </cacheHierarchy>
    <cacheHierarchy uniqueName="[Measures].[Avg Waiting Days]" caption="Avg Waiting Days" measure="1" displayFolder="" measureGroup="Table1_2" count="0" oneField="1">
      <fieldsUsage count="1">
        <fieldUsage x="1"/>
      </fieldsUsage>
    </cacheHierarchy>
    <cacheHierarchy uniqueName="[Measures].[Breach Rate %]" caption="Breach Rate %" measure="1" displayFolder="" measureGroup="Table1_2" count="0" oneField="1">
      <fieldsUsage count="1">
        <fieldUsage x="2"/>
      </fieldsUsage>
    </cacheHierarchy>
    <cacheHierarchy uniqueName="[Measures].[Emergency Count]" caption="Emergency Count" measure="1" displayFolder="" measureGroup="Table1_2" count="0" oneField="1">
      <fieldsUsage count="1">
        <fieldUsage x="3"/>
      </fieldsUsage>
    </cacheHierarchy>
    <cacheHierarchy uniqueName="[Measures].[__XL_Count Table1_2]" caption="__XL_Count Table1_2" measure="1" displayFolder="" measureGroup="Table1_2" count="0" hidden="1"/>
    <cacheHierarchy uniqueName="[Measures].[__No measures defined]" caption="__No measures defined" measure="1" displayFolder="" count="0" hidden="1"/>
  </cacheHierarchies>
  <kpis count="0"/>
  <dimensions count="2">
    <dimension measure="1" name="Measures" uniqueName="[Measures]" caption="Measures"/>
    <dimension name="Table1_2" uniqueName="[Table1_2]" caption="Table1_2"/>
  </dimensions>
  <measureGroups count="1">
    <measureGroup name="Table1_2" caption="Table1_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x v="0"/>
    <x v="0"/>
    <x v="0"/>
    <d v="2024-03-07T00:00:00"/>
    <d v="2024-07-15T00:00:00"/>
    <n v="130"/>
    <s v="Routine"/>
    <x v="0"/>
    <s v="Dr James Patel"/>
    <s v="31-45"/>
    <s v="Yes"/>
    <s v="Breach"/>
  </r>
  <r>
    <x v="1"/>
    <x v="0"/>
    <x v="0"/>
    <d v="2024-06-27T00:00:00"/>
    <d v="2024-10-18T00:00:00"/>
    <n v="113"/>
    <s v="Routine"/>
    <x v="1"/>
    <s v="Miss Sophie Clarke"/>
    <s v="31-45"/>
    <s v="No"/>
    <s v="Breach"/>
  </r>
  <r>
    <x v="2"/>
    <x v="1"/>
    <x v="1"/>
    <d v="2024-01-31T00:00:00"/>
    <d v="2024-07-03T00:00:00"/>
    <n v="154"/>
    <s v="Routine"/>
    <x v="1"/>
    <s v="Miss Grace Lewis"/>
    <s v="76+"/>
    <s v="Yes"/>
    <s v="Breach"/>
  </r>
  <r>
    <x v="3"/>
    <x v="1"/>
    <x v="2"/>
    <d v="2024-03-21T00:00:00"/>
    <d v="2024-08-16T00:00:00"/>
    <n v="148"/>
    <s v="Routine"/>
    <x v="1"/>
    <s v="Mrs Rebecca Green"/>
    <s v="46-60"/>
    <s v="No"/>
    <s v="Breach"/>
  </r>
  <r>
    <x v="4"/>
    <x v="1"/>
    <x v="3"/>
    <d v="2024-04-23T00:00:00"/>
    <d v="2024-06-29T00:00:00"/>
    <n v="67"/>
    <s v="Urgent"/>
    <x v="1"/>
    <s v="Dr Amelia Hughes"/>
    <s v="18-30"/>
    <s v="Yes"/>
    <s v="Within 18 Weeks"/>
  </r>
  <r>
    <x v="5"/>
    <x v="2"/>
    <x v="4"/>
    <d v="2024-06-10T00:00:00"/>
    <d v="2024-10-27T00:00:00"/>
    <n v="139"/>
    <s v="Routine"/>
    <x v="1"/>
    <s v="Mrs Hannah Wilson"/>
    <s v="46-60"/>
    <s v="Yes"/>
    <s v="Breach"/>
  </r>
  <r>
    <x v="4"/>
    <x v="1"/>
    <x v="0"/>
    <d v="2024-05-13T00:00:00"/>
    <d v="2024-10-04T00:00:00"/>
    <n v="144"/>
    <s v="Routine"/>
    <x v="0"/>
    <s v="Mr Henry Walker"/>
    <s v="76+"/>
    <s v="Yes"/>
    <s v="Breach"/>
  </r>
  <r>
    <x v="4"/>
    <x v="1"/>
    <x v="0"/>
    <d v="2024-01-18T00:00:00"/>
    <d v="2024-05-03T00:00:00"/>
    <n v="106"/>
    <s v="Routine"/>
    <x v="1"/>
    <s v="Mrs Priya Shah"/>
    <s v="18-30"/>
    <s v="Yes"/>
    <s v="Breach"/>
  </r>
  <r>
    <x v="5"/>
    <x v="2"/>
    <x v="1"/>
    <d v="2024-06-10T00:00:00"/>
    <d v="2024-07-22T00:00:00"/>
    <n v="42"/>
    <s v="Urgent"/>
    <x v="1"/>
    <s v="Dr Sarah Mitchell"/>
    <s v="31-45"/>
    <s v="No"/>
    <s v="Within 18 Weeks"/>
  </r>
  <r>
    <x v="1"/>
    <x v="0"/>
    <x v="5"/>
    <d v="2024-05-20T00:00:00"/>
    <d v="2024-08-08T00:00:00"/>
    <n v="80"/>
    <s v="Urgent"/>
    <x v="2"/>
    <s v="Miss Aisha Rahman"/>
    <s v="61-75"/>
    <s v="Yes"/>
    <s v="Within 18 Weeks"/>
  </r>
  <r>
    <x v="5"/>
    <x v="2"/>
    <x v="5"/>
    <d v="2024-04-23T00:00:00"/>
    <d v="2024-10-03T00:00:00"/>
    <n v="163"/>
    <s v="Routine"/>
    <x v="1"/>
    <s v="Mr George Williams"/>
    <s v="31-45"/>
    <s v="Yes"/>
    <s v="Breach"/>
  </r>
  <r>
    <x v="1"/>
    <x v="0"/>
    <x v="2"/>
    <d v="2024-04-22T00:00:00"/>
    <d v="2024-10-17T00:00:00"/>
    <n v="178"/>
    <s v="Routine"/>
    <x v="0"/>
    <s v="Miss Aisha Rahman"/>
    <s v="46-60"/>
    <s v="Yes"/>
    <s v="Breach"/>
  </r>
  <r>
    <x v="3"/>
    <x v="1"/>
    <x v="3"/>
    <d v="2024-05-11T00:00:00"/>
    <d v="2024-11-04T00:00:00"/>
    <n v="177"/>
    <s v="Routine"/>
    <x v="1"/>
    <s v="Mr Edward Taylor"/>
    <s v="31-45"/>
    <s v="Yes"/>
    <s v="Breach"/>
  </r>
  <r>
    <x v="6"/>
    <x v="3"/>
    <x v="5"/>
    <d v="2024-04-30T00:00:00"/>
    <d v="2024-07-21T00:00:00"/>
    <n v="82"/>
    <s v="Urgent"/>
    <x v="1"/>
    <s v="Miss Sophie Clarke"/>
    <s v="31-45"/>
    <s v="Yes"/>
    <s v="Within 18 Weeks"/>
  </r>
  <r>
    <x v="5"/>
    <x v="2"/>
    <x v="0"/>
    <d v="2024-06-30T00:00:00"/>
    <d v="2024-10-24T00:00:00"/>
    <n v="116"/>
    <s v="Routine"/>
    <x v="1"/>
    <s v="Mrs Nicola Roberts"/>
    <s v="31-45"/>
    <s v="Yes"/>
    <s v="Breach"/>
  </r>
  <r>
    <x v="4"/>
    <x v="1"/>
    <x v="4"/>
    <d v="2024-05-19T00:00:00"/>
    <d v="2024-09-25T00:00:00"/>
    <n v="129"/>
    <s v="Routine"/>
    <x v="1"/>
    <s v="Mrs Rebecca Green"/>
    <s v="76+"/>
    <s v="Yes"/>
    <s v="Breach"/>
  </r>
  <r>
    <x v="6"/>
    <x v="3"/>
    <x v="4"/>
    <d v="2024-06-26T00:00:00"/>
    <d v="2024-10-26T00:00:00"/>
    <n v="122"/>
    <s v="Routine"/>
    <x v="1"/>
    <s v="Mrs Emily Davies"/>
    <s v="46-60"/>
    <s v="Yes"/>
    <s v="Breach"/>
  </r>
  <r>
    <x v="3"/>
    <x v="1"/>
    <x v="0"/>
    <d v="2024-04-17T00:00:00"/>
    <d v="2024-08-02T00:00:00"/>
    <n v="107"/>
    <s v="Routine"/>
    <x v="0"/>
    <s v="Miss Charlotte Brown"/>
    <s v="61-75"/>
    <s v="Yes"/>
    <s v="Breach"/>
  </r>
  <r>
    <x v="7"/>
    <x v="1"/>
    <x v="0"/>
    <d v="2024-02-13T00:00:00"/>
    <d v="2024-08-05T00:00:00"/>
    <n v="174"/>
    <s v="Routine"/>
    <x v="1"/>
    <s v="Dr Sarah Mitchell"/>
    <s v="31-45"/>
    <s v="Yes"/>
    <s v="Breach"/>
  </r>
  <r>
    <x v="2"/>
    <x v="1"/>
    <x v="2"/>
    <d v="2024-06-08T00:00:00"/>
    <d v="2024-12-03T00:00:00"/>
    <n v="178"/>
    <s v="Routine"/>
    <x v="1"/>
    <s v="Miss Grace Lewis"/>
    <s v="61-75"/>
    <s v="No"/>
    <s v="Breach"/>
  </r>
  <r>
    <x v="1"/>
    <x v="0"/>
    <x v="3"/>
    <d v="2024-04-10T00:00:00"/>
    <d v="2024-08-07T00:00:00"/>
    <n v="119"/>
    <s v="Routine"/>
    <x v="1"/>
    <s v="Mrs Rebecca Green"/>
    <s v="18-30"/>
    <s v="No"/>
    <s v="Breach"/>
  </r>
  <r>
    <x v="2"/>
    <x v="1"/>
    <x v="2"/>
    <d v="2024-03-10T00:00:00"/>
    <d v="2024-04-11T00:00:00"/>
    <n v="32"/>
    <s v="Emergency"/>
    <x v="1"/>
    <s v="Mr Daniel Thompson"/>
    <s v="31-45"/>
    <s v="No"/>
    <s v="Within 18 Weeks"/>
  </r>
  <r>
    <x v="5"/>
    <x v="2"/>
    <x v="5"/>
    <d v="2024-02-18T00:00:00"/>
    <d v="2024-05-31T00:00:00"/>
    <n v="103"/>
    <s v="Routine"/>
    <x v="0"/>
    <s v="Dr Amelia Hughes"/>
    <s v="46-60"/>
    <s v="Yes"/>
    <s v="Within 18 Weeks"/>
  </r>
  <r>
    <x v="1"/>
    <x v="0"/>
    <x v="1"/>
    <d v="2024-06-25T00:00:00"/>
    <d v="2024-09-01T00:00:00"/>
    <n v="68"/>
    <s v="Urgent"/>
    <x v="1"/>
    <s v="Dr Mohammed Khan"/>
    <s v="18-30"/>
    <s v="Yes"/>
    <s v="Within 18 Weeks"/>
  </r>
  <r>
    <x v="2"/>
    <x v="1"/>
    <x v="2"/>
    <d v="2024-05-20T00:00:00"/>
    <d v="2024-07-12T00:00:00"/>
    <n v="53"/>
    <s v="Urgent"/>
    <x v="2"/>
    <s v="Mr George Williams"/>
    <s v="61-75"/>
    <s v="No"/>
    <s v="Within 18 Weeks"/>
  </r>
  <r>
    <x v="1"/>
    <x v="0"/>
    <x v="3"/>
    <d v="2024-03-28T00:00:00"/>
    <d v="2024-04-15T00:00:00"/>
    <n v="18"/>
    <s v="Emergency"/>
    <x v="2"/>
    <s v="Mr Oliver Bennett"/>
    <s v="61-75"/>
    <s v="No"/>
    <s v="Emergency Target"/>
  </r>
  <r>
    <x v="4"/>
    <x v="1"/>
    <x v="1"/>
    <d v="2024-03-25T00:00:00"/>
    <d v="2024-07-10T00:00:00"/>
    <n v="107"/>
    <s v="Routine"/>
    <x v="1"/>
    <s v="Dr James Patel"/>
    <s v="76+"/>
    <s v="Yes"/>
    <s v="Breach"/>
  </r>
  <r>
    <x v="6"/>
    <x v="3"/>
    <x v="1"/>
    <d v="2024-06-29T00:00:00"/>
    <d v="2024-08-03T00:00:00"/>
    <n v="35"/>
    <s v="Emergency"/>
    <x v="0"/>
    <s v="Mrs Rebecca Green"/>
    <s v="18-30"/>
    <s v="Yes"/>
    <s v="Within 18 Weeks"/>
  </r>
  <r>
    <x v="1"/>
    <x v="0"/>
    <x v="4"/>
    <d v="2024-05-21T00:00:00"/>
    <d v="2024-10-20T00:00:00"/>
    <n v="152"/>
    <s v="Routine"/>
    <x v="1"/>
    <s v="Dr Thomas Evans"/>
    <s v="46-60"/>
    <s v="Yes"/>
    <s v="Breach"/>
  </r>
  <r>
    <x v="2"/>
    <x v="1"/>
    <x v="3"/>
    <d v="2024-02-23T00:00:00"/>
    <d v="2024-06-06T00:00:00"/>
    <n v="104"/>
    <s v="Routine"/>
    <x v="1"/>
    <s v="Miss Lucy Morgan"/>
    <s v="61-75"/>
    <s v="Yes"/>
    <s v="Within 18 Weeks"/>
  </r>
  <r>
    <x v="7"/>
    <x v="1"/>
    <x v="1"/>
    <d v="2024-02-04T00:00:00"/>
    <d v="2024-06-21T00:00:00"/>
    <n v="138"/>
    <s v="Routine"/>
    <x v="0"/>
    <s v="Dr Amelia Hughes"/>
    <s v="31-45"/>
    <s v="Yes"/>
    <s v="Breach"/>
  </r>
  <r>
    <x v="2"/>
    <x v="1"/>
    <x v="2"/>
    <d v="2024-06-30T00:00:00"/>
    <d v="2024-12-14T00:00:00"/>
    <n v="167"/>
    <s v="Routine"/>
    <x v="1"/>
    <s v="Mrs Hannah Wilson"/>
    <s v="76+"/>
    <s v="Yes"/>
    <s v="Breach"/>
  </r>
  <r>
    <x v="5"/>
    <x v="2"/>
    <x v="2"/>
    <d v="2024-04-12T00:00:00"/>
    <d v="2024-08-02T00:00:00"/>
    <n v="112"/>
    <s v="Routine"/>
    <x v="1"/>
    <s v="Mr George Williams"/>
    <s v="31-45"/>
    <s v="Yes"/>
    <s v="Breach"/>
  </r>
  <r>
    <x v="4"/>
    <x v="1"/>
    <x v="4"/>
    <d v="2024-04-02T00:00:00"/>
    <d v="2024-08-01T00:00:00"/>
    <n v="121"/>
    <s v="Routine"/>
    <x v="1"/>
    <s v="Dr Mohammed Khan"/>
    <s v="31-45"/>
    <s v="Yes"/>
    <s v="Breach"/>
  </r>
  <r>
    <x v="1"/>
    <x v="0"/>
    <x v="4"/>
    <d v="2024-04-29T00:00:00"/>
    <d v="2024-05-13T00:00:00"/>
    <n v="14"/>
    <s v="Emergency"/>
    <x v="1"/>
    <s v="Mrs Rebecca Green"/>
    <s v="46-60"/>
    <s v="Yes"/>
    <s v="Emergency Target"/>
  </r>
  <r>
    <x v="4"/>
    <x v="1"/>
    <x v="3"/>
    <d v="2024-04-03T00:00:00"/>
    <d v="2024-06-09T00:00:00"/>
    <n v="67"/>
    <s v="Urgent"/>
    <x v="1"/>
    <s v="Mrs Emily Davies"/>
    <s v="76+"/>
    <s v="Yes"/>
    <s v="Within 18 Weeks"/>
  </r>
  <r>
    <x v="1"/>
    <x v="0"/>
    <x v="0"/>
    <d v="2024-06-23T00:00:00"/>
    <d v="2024-11-07T00:00:00"/>
    <n v="137"/>
    <s v="Routine"/>
    <x v="1"/>
    <s v="Miss Charlotte Brown"/>
    <s v="31-45"/>
    <s v="Yes"/>
    <s v="Breach"/>
  </r>
  <r>
    <x v="0"/>
    <x v="0"/>
    <x v="4"/>
    <d v="2024-04-22T00:00:00"/>
    <d v="2024-08-25T00:00:00"/>
    <n v="125"/>
    <s v="Routine"/>
    <x v="0"/>
    <s v="Dr Mohammed Khan"/>
    <s v="46-60"/>
    <s v="Yes"/>
    <s v="Breach"/>
  </r>
  <r>
    <x v="0"/>
    <x v="0"/>
    <x v="3"/>
    <d v="2024-02-13T00:00:00"/>
    <d v="2024-06-21T00:00:00"/>
    <n v="129"/>
    <s v="Routine"/>
    <x v="1"/>
    <s v="Miss Aisha Rahman"/>
    <s v="61-75"/>
    <s v="No"/>
    <s v="Breach"/>
  </r>
  <r>
    <x v="7"/>
    <x v="1"/>
    <x v="4"/>
    <d v="2024-01-09T00:00:00"/>
    <d v="2024-03-13T00:00:00"/>
    <n v="64"/>
    <s v="Urgent"/>
    <x v="0"/>
    <s v="Mrs Priya Shah"/>
    <s v="76+"/>
    <s v="Yes"/>
    <s v="Within 18 Weeks"/>
  </r>
  <r>
    <x v="2"/>
    <x v="1"/>
    <x v="1"/>
    <d v="2024-01-24T00:00:00"/>
    <d v="2024-03-21T00:00:00"/>
    <n v="57"/>
    <s v="Urgent"/>
    <x v="1"/>
    <s v="Miss Aisha Rahman"/>
    <s v="61-75"/>
    <s v="Yes"/>
    <s v="Within 18 Weeks"/>
  </r>
  <r>
    <x v="2"/>
    <x v="1"/>
    <x v="0"/>
    <d v="2024-01-02T00:00:00"/>
    <d v="2024-06-29T00:00:00"/>
    <n v="179"/>
    <s v="Routine"/>
    <x v="1"/>
    <s v="Mrs Nicola Roberts"/>
    <s v="76+"/>
    <s v="No"/>
    <s v="Breach"/>
  </r>
  <r>
    <x v="4"/>
    <x v="1"/>
    <x v="4"/>
    <d v="2024-01-21T00:00:00"/>
    <d v="2024-02-04T00:00:00"/>
    <n v="14"/>
    <s v="Emergency"/>
    <x v="1"/>
    <s v="Mrs Hannah Wilson"/>
    <s v="76+"/>
    <s v="No"/>
    <s v="Emergency Target"/>
  </r>
  <r>
    <x v="1"/>
    <x v="0"/>
    <x v="3"/>
    <d v="2024-06-17T00:00:00"/>
    <d v="2024-08-11T00:00:00"/>
    <n v="55"/>
    <s v="Urgent"/>
    <x v="1"/>
    <s v="Mrs Priya Shah"/>
    <s v="18-30"/>
    <s v="Yes"/>
    <s v="Within 18 Weeks"/>
  </r>
  <r>
    <x v="4"/>
    <x v="1"/>
    <x v="2"/>
    <d v="2024-03-14T00:00:00"/>
    <d v="2024-08-08T00:00:00"/>
    <n v="147"/>
    <s v="Routine"/>
    <x v="1"/>
    <s v="Dr Mohammed Khan"/>
    <s v="31-45"/>
    <s v="No"/>
    <s v="Breach"/>
  </r>
  <r>
    <x v="2"/>
    <x v="1"/>
    <x v="1"/>
    <d v="2024-05-11T00:00:00"/>
    <d v="2024-11-04T00:00:00"/>
    <n v="177"/>
    <s v="Routine"/>
    <x v="1"/>
    <s v="Mrs Hannah Wilson"/>
    <s v="76+"/>
    <s v="Yes"/>
    <s v="Breach"/>
  </r>
  <r>
    <x v="4"/>
    <x v="1"/>
    <x v="5"/>
    <d v="2024-02-08T00:00:00"/>
    <d v="2024-04-27T00:00:00"/>
    <n v="79"/>
    <s v="Urgent"/>
    <x v="0"/>
    <s v="Dr Sarah Mitchell"/>
    <s v="31-45"/>
    <s v="Yes"/>
    <s v="Within 18 Weeks"/>
  </r>
  <r>
    <x v="3"/>
    <x v="1"/>
    <x v="3"/>
    <d v="2024-01-05T00:00:00"/>
    <d v="2024-06-05T00:00:00"/>
    <n v="152"/>
    <s v="Routine"/>
    <x v="1"/>
    <s v="Mr Daniel Thompson"/>
    <s v="61-75"/>
    <s v="No"/>
    <s v="Breach"/>
  </r>
  <r>
    <x v="1"/>
    <x v="0"/>
    <x v="5"/>
    <d v="2024-05-12T00:00:00"/>
    <d v="2024-07-01T00:00:00"/>
    <n v="50"/>
    <s v="Urgent"/>
    <x v="1"/>
    <s v="Mr George Williams"/>
    <s v="61-75"/>
    <s v="Yes"/>
    <s v="Within 18 Weeks"/>
  </r>
  <r>
    <x v="7"/>
    <x v="1"/>
    <x v="3"/>
    <d v="2024-01-17T00:00:00"/>
    <d v="2024-06-23T00:00:00"/>
    <n v="158"/>
    <s v="Routine"/>
    <x v="1"/>
    <s v="Dr Amelia Hughes"/>
    <s v="18-30"/>
    <s v="Yes"/>
    <s v="Breach"/>
  </r>
  <r>
    <x v="0"/>
    <x v="0"/>
    <x v="0"/>
    <d v="2024-03-24T00:00:00"/>
    <d v="2024-08-03T00:00:00"/>
    <n v="132"/>
    <s v="Routine"/>
    <x v="1"/>
    <s v="Mrs Emily Davies"/>
    <s v="18-30"/>
    <s v="Yes"/>
    <s v="Breach"/>
  </r>
  <r>
    <x v="6"/>
    <x v="3"/>
    <x v="3"/>
    <d v="2024-04-27T00:00:00"/>
    <d v="2024-06-09T00:00:00"/>
    <n v="43"/>
    <s v="Urgent"/>
    <x v="1"/>
    <s v="Mr Henry Walker"/>
    <s v="31-45"/>
    <s v="Yes"/>
    <s v="Within 18 Weeks"/>
  </r>
  <r>
    <x v="0"/>
    <x v="0"/>
    <x v="5"/>
    <d v="2024-02-15T00:00:00"/>
    <d v="2024-05-27T00:00:00"/>
    <n v="102"/>
    <s v="Routine"/>
    <x v="1"/>
    <s v="Dr Amelia Hughes"/>
    <s v="61-75"/>
    <s v="Yes"/>
    <s v="Within 18 Weeks"/>
  </r>
  <r>
    <x v="1"/>
    <x v="0"/>
    <x v="5"/>
    <d v="2024-06-12T00:00:00"/>
    <d v="2024-11-12T00:00:00"/>
    <n v="153"/>
    <s v="Routine"/>
    <x v="1"/>
    <s v="Mrs Hannah Wilson"/>
    <s v="46-60"/>
    <s v="Yes"/>
    <s v="Breach"/>
  </r>
  <r>
    <x v="7"/>
    <x v="1"/>
    <x v="4"/>
    <d v="2024-02-17T00:00:00"/>
    <d v="2024-08-02T00:00:00"/>
    <n v="167"/>
    <s v="Routine"/>
    <x v="2"/>
    <s v="Mrs Emily Davies"/>
    <s v="76+"/>
    <s v="No"/>
    <s v="Breach"/>
  </r>
  <r>
    <x v="0"/>
    <x v="0"/>
    <x v="3"/>
    <d v="2024-06-18T00:00:00"/>
    <d v="2024-11-29T00:00:00"/>
    <n v="164"/>
    <s v="Routine"/>
    <x v="0"/>
    <s v="Mr Daniel Thompson"/>
    <s v="18-30"/>
    <s v="No"/>
    <s v="Breach"/>
  </r>
  <r>
    <x v="1"/>
    <x v="0"/>
    <x v="4"/>
    <d v="2024-04-12T00:00:00"/>
    <d v="2024-09-08T00:00:00"/>
    <n v="149"/>
    <s v="Routine"/>
    <x v="1"/>
    <s v="Miss Lucy Morgan"/>
    <s v="18-30"/>
    <s v="Yes"/>
    <s v="Breach"/>
  </r>
  <r>
    <x v="7"/>
    <x v="1"/>
    <x v="5"/>
    <d v="2024-03-05T00:00:00"/>
    <d v="2024-08-13T00:00:00"/>
    <n v="161"/>
    <s v="Routine"/>
    <x v="0"/>
    <s v="Dr Amelia Hughes"/>
    <s v="61-75"/>
    <s v="No"/>
    <s v="Breach"/>
  </r>
  <r>
    <x v="7"/>
    <x v="1"/>
    <x v="0"/>
    <d v="2024-05-11T00:00:00"/>
    <d v="2024-08-31T00:00:00"/>
    <n v="112"/>
    <s v="Routine"/>
    <x v="1"/>
    <s v="Mrs Rebecca Green"/>
    <s v="76+"/>
    <s v="Yes"/>
    <s v="Breach"/>
  </r>
  <r>
    <x v="0"/>
    <x v="0"/>
    <x v="4"/>
    <d v="2024-05-14T00:00:00"/>
    <d v="2024-09-07T00:00:00"/>
    <n v="116"/>
    <s v="Routine"/>
    <x v="0"/>
    <s v="Mrs Priya Shah"/>
    <s v="31-45"/>
    <s v="Yes"/>
    <s v="Breach"/>
  </r>
  <r>
    <x v="7"/>
    <x v="1"/>
    <x v="4"/>
    <d v="2024-01-11T00:00:00"/>
    <d v="2024-02-23T00:00:00"/>
    <n v="43"/>
    <s v="Urgent"/>
    <x v="1"/>
    <s v="Mrs Nicola Roberts"/>
    <s v="61-75"/>
    <s v="Yes"/>
    <s v="Within 18 Weeks"/>
  </r>
  <r>
    <x v="1"/>
    <x v="0"/>
    <x v="1"/>
    <d v="2024-04-18T00:00:00"/>
    <d v="2024-06-24T00:00:00"/>
    <n v="67"/>
    <s v="Urgent"/>
    <x v="1"/>
    <s v="Miss Lucy Morgan"/>
    <s v="18-30"/>
    <s v="Yes"/>
    <s v="Within 18 Weeks"/>
  </r>
  <r>
    <x v="1"/>
    <x v="0"/>
    <x v="5"/>
    <d v="2024-02-16T00:00:00"/>
    <d v="2024-04-27T00:00:00"/>
    <n v="71"/>
    <s v="Urgent"/>
    <x v="0"/>
    <s v="Mr Oliver Bennett"/>
    <s v="61-75"/>
    <s v="Yes"/>
    <s v="Within 18 Weeks"/>
  </r>
  <r>
    <x v="3"/>
    <x v="1"/>
    <x v="0"/>
    <d v="2024-05-06T00:00:00"/>
    <d v="2024-10-06T00:00:00"/>
    <n v="153"/>
    <s v="Routine"/>
    <x v="1"/>
    <s v="Dr Sarah Mitchell"/>
    <s v="18-30"/>
    <s v="Yes"/>
    <s v="Breach"/>
  </r>
  <r>
    <x v="2"/>
    <x v="1"/>
    <x v="4"/>
    <d v="2024-06-09T00:00:00"/>
    <d v="2024-08-21T00:00:00"/>
    <n v="73"/>
    <s v="Urgent"/>
    <x v="2"/>
    <s v="Mr Daniel Thompson"/>
    <s v="18-30"/>
    <s v="No"/>
    <s v="Within 18 Weeks"/>
  </r>
  <r>
    <x v="4"/>
    <x v="1"/>
    <x v="5"/>
    <d v="2024-05-11T00:00:00"/>
    <d v="2024-06-07T00:00:00"/>
    <n v="27"/>
    <s v="Emergency"/>
    <x v="1"/>
    <s v="Dr Amelia Hughes"/>
    <s v="61-75"/>
    <s v="Yes"/>
    <s v="Within 18 Weeks"/>
  </r>
  <r>
    <x v="6"/>
    <x v="3"/>
    <x v="4"/>
    <d v="2024-01-21T00:00:00"/>
    <d v="2024-04-06T00:00:00"/>
    <n v="76"/>
    <s v="Urgent"/>
    <x v="1"/>
    <s v="Miss Sophie Clarke"/>
    <s v="46-60"/>
    <s v="Yes"/>
    <s v="Within 18 Weeks"/>
  </r>
  <r>
    <x v="7"/>
    <x v="1"/>
    <x v="5"/>
    <d v="2024-05-11T00:00:00"/>
    <d v="2024-08-11T00:00:00"/>
    <n v="92"/>
    <s v="Routine"/>
    <x v="1"/>
    <s v="Miss Grace Lewis"/>
    <s v="46-60"/>
    <s v="Yes"/>
    <s v="Within 18 Weeks"/>
  </r>
  <r>
    <x v="0"/>
    <x v="0"/>
    <x v="5"/>
    <d v="2024-02-17T00:00:00"/>
    <d v="2024-05-10T00:00:00"/>
    <n v="83"/>
    <s v="Urgent"/>
    <x v="0"/>
    <s v="Dr Amelia Hughes"/>
    <s v="18-30"/>
    <s v="Yes"/>
    <s v="Within 18 Weeks"/>
  </r>
  <r>
    <x v="3"/>
    <x v="1"/>
    <x v="3"/>
    <d v="2024-02-16T00:00:00"/>
    <d v="2024-04-20T00:00:00"/>
    <n v="64"/>
    <s v="Urgent"/>
    <x v="1"/>
    <s v="Miss Lucy Morgan"/>
    <s v="46-60"/>
    <s v="Yes"/>
    <s v="Within 18 Weeks"/>
  </r>
  <r>
    <x v="4"/>
    <x v="1"/>
    <x v="4"/>
    <d v="2024-04-05T00:00:00"/>
    <d v="2024-04-26T00:00:00"/>
    <n v="21"/>
    <s v="Emergency"/>
    <x v="1"/>
    <s v="Dr Amelia Hughes"/>
    <s v="18-30"/>
    <s v="Yes"/>
    <s v="Within 18 Weeks"/>
  </r>
  <r>
    <x v="6"/>
    <x v="3"/>
    <x v="4"/>
    <d v="2024-03-02T00:00:00"/>
    <d v="2024-07-22T00:00:00"/>
    <n v="142"/>
    <s v="Routine"/>
    <x v="2"/>
    <s v="Miss Aisha Rahman"/>
    <s v="18-30"/>
    <s v="Yes"/>
    <s v="Breach"/>
  </r>
  <r>
    <x v="4"/>
    <x v="1"/>
    <x v="1"/>
    <d v="2024-02-03T00:00:00"/>
    <d v="2024-07-08T00:00:00"/>
    <n v="156"/>
    <s v="Routine"/>
    <x v="1"/>
    <s v="Dr Mohammed Khan"/>
    <s v="31-45"/>
    <s v="No"/>
    <s v="Breach"/>
  </r>
  <r>
    <x v="7"/>
    <x v="1"/>
    <x v="5"/>
    <d v="2024-02-13T00:00:00"/>
    <d v="2024-05-01T00:00:00"/>
    <n v="78"/>
    <s v="Urgent"/>
    <x v="1"/>
    <s v="Miss Grace Lewis"/>
    <s v="46-60"/>
    <s v="Yes"/>
    <s v="Within 18 Weeks"/>
  </r>
  <r>
    <x v="7"/>
    <x v="1"/>
    <x v="5"/>
    <d v="2024-03-28T00:00:00"/>
    <d v="2024-07-09T00:00:00"/>
    <n v="103"/>
    <s v="Routine"/>
    <x v="1"/>
    <s v="Mr Edward Taylor"/>
    <s v="31-45"/>
    <s v="No"/>
    <s v="Within 18 Weeks"/>
  </r>
  <r>
    <x v="0"/>
    <x v="0"/>
    <x v="0"/>
    <d v="2024-02-27T00:00:00"/>
    <d v="2024-03-20T00:00:00"/>
    <n v="22"/>
    <s v="Emergency"/>
    <x v="0"/>
    <s v="Miss Sophie Clarke"/>
    <s v="61-75"/>
    <s v="Yes"/>
    <s v="Within 18 Weeks"/>
  </r>
  <r>
    <x v="2"/>
    <x v="1"/>
    <x v="5"/>
    <d v="2024-06-30T00:00:00"/>
    <d v="2024-11-15T00:00:00"/>
    <n v="138"/>
    <s v="Routine"/>
    <x v="1"/>
    <s v="Dr James Patel"/>
    <s v="31-45"/>
    <s v="Yes"/>
    <s v="Breach"/>
  </r>
  <r>
    <x v="3"/>
    <x v="1"/>
    <x v="1"/>
    <d v="2024-05-16T00:00:00"/>
    <d v="2024-07-28T00:00:00"/>
    <n v="73"/>
    <s v="Urgent"/>
    <x v="1"/>
    <s v="Dr Sarah Mitchell"/>
    <s v="76+"/>
    <s v="Yes"/>
    <s v="Within 18 Weeks"/>
  </r>
  <r>
    <x v="2"/>
    <x v="1"/>
    <x v="2"/>
    <d v="2024-02-22T00:00:00"/>
    <d v="2024-04-12T00:00:00"/>
    <n v="50"/>
    <s v="Urgent"/>
    <x v="1"/>
    <s v="Dr Thomas Evans"/>
    <s v="18-30"/>
    <s v="No"/>
    <s v="Within 18 Week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s v="NHS-0002"/>
    <x v="0"/>
    <x v="0"/>
    <s v="Cardiology"/>
    <d v="2024-03-07T00:00:00"/>
    <d v="2024-07-15T00:00:00"/>
    <n v="130"/>
    <x v="0"/>
    <x v="0"/>
    <s v="Dr James Patel"/>
    <s v="31-45"/>
    <s v="Yes"/>
    <s v="Breach"/>
  </r>
  <r>
    <s v="NHS-0003"/>
    <x v="1"/>
    <x v="0"/>
    <s v="Cardiology"/>
    <d v="2024-06-27T00:00:00"/>
    <d v="2024-10-18T00:00:00"/>
    <n v="113"/>
    <x v="0"/>
    <x v="1"/>
    <s v="Miss Sophie Clarke"/>
    <s v="31-45"/>
    <s v="No"/>
    <s v="Breach"/>
  </r>
  <r>
    <s v="NHS-0004"/>
    <x v="2"/>
    <x v="1"/>
    <s v="General Surgery"/>
    <d v="2024-01-31T00:00:00"/>
    <d v="2024-07-03T00:00:00"/>
    <n v="154"/>
    <x v="0"/>
    <x v="1"/>
    <s v="Miss Grace Lewis"/>
    <s v="76+"/>
    <s v="Yes"/>
    <s v="Breach"/>
  </r>
  <r>
    <s v="NHS-0005"/>
    <x v="3"/>
    <x v="1"/>
    <s v="A&amp;E"/>
    <d v="2024-03-21T00:00:00"/>
    <d v="2024-08-16T00:00:00"/>
    <n v="148"/>
    <x v="0"/>
    <x v="1"/>
    <s v="Mrs Rebecca Green"/>
    <s v="46-60"/>
    <s v="No"/>
    <s v="Breach"/>
  </r>
  <r>
    <s v="NHS-0006"/>
    <x v="4"/>
    <x v="1"/>
    <s v="Neurology"/>
    <d v="2024-04-23T00:00:00"/>
    <d v="2024-06-29T00:00:00"/>
    <n v="67"/>
    <x v="1"/>
    <x v="1"/>
    <s v="Dr Amelia Hughes"/>
    <s v="18-30"/>
    <s v="Yes"/>
    <s v="Within 18 Weeks"/>
  </r>
  <r>
    <s v="NHS-0007"/>
    <x v="5"/>
    <x v="2"/>
    <s v="Orthopaedics"/>
    <d v="2024-06-10T00:00:00"/>
    <d v="2024-10-27T00:00:00"/>
    <n v="139"/>
    <x v="0"/>
    <x v="1"/>
    <s v="Mrs Hannah Wilson"/>
    <s v="46-60"/>
    <s v="Yes"/>
    <s v="Breach"/>
  </r>
  <r>
    <s v="NHS-0008"/>
    <x v="4"/>
    <x v="1"/>
    <s v="Cardiology"/>
    <d v="2024-05-13T00:00:00"/>
    <d v="2024-10-04T00:00:00"/>
    <n v="144"/>
    <x v="0"/>
    <x v="0"/>
    <s v="Mr Henry Walker"/>
    <s v="76+"/>
    <s v="Yes"/>
    <s v="Breach"/>
  </r>
  <r>
    <s v="NHS-0009"/>
    <x v="4"/>
    <x v="1"/>
    <s v="Cardiology"/>
    <d v="2024-01-18T00:00:00"/>
    <d v="2024-05-03T00:00:00"/>
    <n v="106"/>
    <x v="0"/>
    <x v="1"/>
    <s v="Mrs Priya Shah"/>
    <s v="18-30"/>
    <s v="Yes"/>
    <s v="Breach"/>
  </r>
  <r>
    <s v="NHS-0010"/>
    <x v="5"/>
    <x v="2"/>
    <s v="General Surgery"/>
    <d v="2024-06-10T00:00:00"/>
    <d v="2024-07-22T00:00:00"/>
    <n v="42"/>
    <x v="1"/>
    <x v="1"/>
    <s v="Dr Sarah Mitchell"/>
    <s v="31-45"/>
    <s v="No"/>
    <s v="Within 18 Weeks"/>
  </r>
  <r>
    <s v="NHS-0011"/>
    <x v="1"/>
    <x v="0"/>
    <s v="Oncology"/>
    <d v="2024-05-20T00:00:00"/>
    <d v="2024-08-08T00:00:00"/>
    <n v="80"/>
    <x v="1"/>
    <x v="2"/>
    <s v="Miss Aisha Rahman"/>
    <s v="61-75"/>
    <s v="Yes"/>
    <s v="Within 18 Weeks"/>
  </r>
  <r>
    <s v="NHS-0012"/>
    <x v="5"/>
    <x v="2"/>
    <s v="Oncology"/>
    <d v="2024-04-23T00:00:00"/>
    <d v="2024-10-03T00:00:00"/>
    <n v="163"/>
    <x v="0"/>
    <x v="1"/>
    <s v="Mr George Williams"/>
    <s v="31-45"/>
    <s v="Yes"/>
    <s v="Breach"/>
  </r>
  <r>
    <s v="NHS-0013"/>
    <x v="1"/>
    <x v="0"/>
    <s v="A&amp;E"/>
    <d v="2024-04-22T00:00:00"/>
    <d v="2024-10-17T00:00:00"/>
    <n v="178"/>
    <x v="0"/>
    <x v="0"/>
    <s v="Miss Aisha Rahman"/>
    <s v="46-60"/>
    <s v="Yes"/>
    <s v="Breach"/>
  </r>
  <r>
    <s v="NHS-0014"/>
    <x v="3"/>
    <x v="1"/>
    <s v="Neurology"/>
    <d v="2024-05-11T00:00:00"/>
    <d v="2024-11-04T00:00:00"/>
    <n v="177"/>
    <x v="0"/>
    <x v="1"/>
    <s v="Mr Edward Taylor"/>
    <s v="31-45"/>
    <s v="Yes"/>
    <s v="Breach"/>
  </r>
  <r>
    <s v="NHS-0015"/>
    <x v="6"/>
    <x v="3"/>
    <s v="Oncology"/>
    <d v="2024-04-30T00:00:00"/>
    <d v="2024-07-21T00:00:00"/>
    <n v="82"/>
    <x v="1"/>
    <x v="1"/>
    <s v="Miss Sophie Clarke"/>
    <s v="31-45"/>
    <s v="Yes"/>
    <s v="Within 18 Weeks"/>
  </r>
  <r>
    <s v="NHS-0016"/>
    <x v="5"/>
    <x v="2"/>
    <s v="Cardiology"/>
    <d v="2024-06-30T00:00:00"/>
    <d v="2024-10-24T00:00:00"/>
    <n v="116"/>
    <x v="0"/>
    <x v="1"/>
    <s v="Mrs Nicola Roberts"/>
    <s v="31-45"/>
    <s v="Yes"/>
    <s v="Breach"/>
  </r>
  <r>
    <s v="NHS-0017"/>
    <x v="4"/>
    <x v="1"/>
    <s v="Orthopaedics"/>
    <d v="2024-05-19T00:00:00"/>
    <d v="2024-09-25T00:00:00"/>
    <n v="129"/>
    <x v="0"/>
    <x v="1"/>
    <s v="Mrs Rebecca Green"/>
    <s v="76+"/>
    <s v="Yes"/>
    <s v="Breach"/>
  </r>
  <r>
    <s v="NHS-0018"/>
    <x v="6"/>
    <x v="3"/>
    <s v="Orthopaedics"/>
    <d v="2024-06-26T00:00:00"/>
    <d v="2024-10-26T00:00:00"/>
    <n v="122"/>
    <x v="0"/>
    <x v="1"/>
    <s v="Mrs Emily Davies"/>
    <s v="46-60"/>
    <s v="Yes"/>
    <s v="Breach"/>
  </r>
  <r>
    <s v="NHS-0019"/>
    <x v="3"/>
    <x v="1"/>
    <s v="Cardiology"/>
    <d v="2024-04-17T00:00:00"/>
    <d v="2024-08-02T00:00:00"/>
    <n v="107"/>
    <x v="0"/>
    <x v="0"/>
    <s v="Miss Charlotte Brown"/>
    <s v="61-75"/>
    <s v="Yes"/>
    <s v="Breach"/>
  </r>
  <r>
    <s v="NHS-0020"/>
    <x v="7"/>
    <x v="1"/>
    <s v="Cardiology"/>
    <d v="2024-02-13T00:00:00"/>
    <d v="2024-08-05T00:00:00"/>
    <n v="174"/>
    <x v="0"/>
    <x v="1"/>
    <s v="Dr Sarah Mitchell"/>
    <s v="31-45"/>
    <s v="Yes"/>
    <s v="Breach"/>
  </r>
  <r>
    <s v="NHS-0021"/>
    <x v="2"/>
    <x v="1"/>
    <s v="A&amp;E"/>
    <d v="2024-06-08T00:00:00"/>
    <d v="2024-12-03T00:00:00"/>
    <n v="178"/>
    <x v="0"/>
    <x v="1"/>
    <s v="Miss Grace Lewis"/>
    <s v="61-75"/>
    <s v="No"/>
    <s v="Breach"/>
  </r>
  <r>
    <s v="NHS-0022"/>
    <x v="1"/>
    <x v="0"/>
    <s v="Neurology"/>
    <d v="2024-04-10T00:00:00"/>
    <d v="2024-08-07T00:00:00"/>
    <n v="119"/>
    <x v="0"/>
    <x v="1"/>
    <s v="Mrs Rebecca Green"/>
    <s v="18-30"/>
    <s v="No"/>
    <s v="Breach"/>
  </r>
  <r>
    <s v="NHS-0023"/>
    <x v="2"/>
    <x v="1"/>
    <s v="A&amp;E"/>
    <d v="2024-03-10T00:00:00"/>
    <d v="2024-04-11T00:00:00"/>
    <n v="32"/>
    <x v="2"/>
    <x v="1"/>
    <s v="Mr Daniel Thompson"/>
    <s v="31-45"/>
    <s v="No"/>
    <s v="Within 18 Weeks"/>
  </r>
  <r>
    <s v="NHS-0024"/>
    <x v="5"/>
    <x v="2"/>
    <s v="Oncology"/>
    <d v="2024-02-18T00:00:00"/>
    <d v="2024-05-31T00:00:00"/>
    <n v="103"/>
    <x v="0"/>
    <x v="0"/>
    <s v="Dr Amelia Hughes"/>
    <s v="46-60"/>
    <s v="Yes"/>
    <s v="Within 18 Weeks"/>
  </r>
  <r>
    <s v="NHS-0025"/>
    <x v="1"/>
    <x v="0"/>
    <s v="General Surgery"/>
    <d v="2024-06-25T00:00:00"/>
    <d v="2024-09-01T00:00:00"/>
    <n v="68"/>
    <x v="1"/>
    <x v="1"/>
    <s v="Dr Mohammed Khan"/>
    <s v="18-30"/>
    <s v="Yes"/>
    <s v="Within 18 Weeks"/>
  </r>
  <r>
    <s v="NHS-0026"/>
    <x v="2"/>
    <x v="1"/>
    <s v="A&amp;E"/>
    <d v="2024-05-20T00:00:00"/>
    <d v="2024-07-12T00:00:00"/>
    <n v="53"/>
    <x v="1"/>
    <x v="2"/>
    <s v="Mr George Williams"/>
    <s v="61-75"/>
    <s v="No"/>
    <s v="Within 18 Weeks"/>
  </r>
  <r>
    <s v="NHS-0027"/>
    <x v="1"/>
    <x v="0"/>
    <s v="Neurology"/>
    <d v="2024-03-28T00:00:00"/>
    <d v="2024-04-15T00:00:00"/>
    <n v="18"/>
    <x v="2"/>
    <x v="2"/>
    <s v="Mr Oliver Bennett"/>
    <s v="61-75"/>
    <s v="No"/>
    <s v="Emergency Target"/>
  </r>
  <r>
    <s v="NHS-0028"/>
    <x v="4"/>
    <x v="1"/>
    <s v="General Surgery"/>
    <d v="2024-03-25T00:00:00"/>
    <d v="2024-07-10T00:00:00"/>
    <n v="107"/>
    <x v="0"/>
    <x v="1"/>
    <s v="Dr James Patel"/>
    <s v="76+"/>
    <s v="Yes"/>
    <s v="Breach"/>
  </r>
  <r>
    <s v="NHS-0029"/>
    <x v="6"/>
    <x v="3"/>
    <s v="General Surgery"/>
    <d v="2024-06-29T00:00:00"/>
    <d v="2024-08-03T00:00:00"/>
    <n v="35"/>
    <x v="2"/>
    <x v="0"/>
    <s v="Mrs Rebecca Green"/>
    <s v="18-30"/>
    <s v="Yes"/>
    <s v="Within 18 Weeks"/>
  </r>
  <r>
    <s v="NHS-0030"/>
    <x v="1"/>
    <x v="0"/>
    <s v="Orthopaedics"/>
    <d v="2024-05-21T00:00:00"/>
    <d v="2024-10-20T00:00:00"/>
    <n v="152"/>
    <x v="0"/>
    <x v="1"/>
    <s v="Dr Thomas Evans"/>
    <s v="46-60"/>
    <s v="Yes"/>
    <s v="Breach"/>
  </r>
  <r>
    <s v="NHS-0031"/>
    <x v="2"/>
    <x v="1"/>
    <s v="Neurology"/>
    <d v="2024-02-23T00:00:00"/>
    <d v="2024-06-06T00:00:00"/>
    <n v="104"/>
    <x v="0"/>
    <x v="1"/>
    <s v="Miss Lucy Morgan"/>
    <s v="61-75"/>
    <s v="Yes"/>
    <s v="Within 18 Weeks"/>
  </r>
  <r>
    <s v="NHS-0032"/>
    <x v="7"/>
    <x v="1"/>
    <s v="General Surgery"/>
    <d v="2024-02-04T00:00:00"/>
    <d v="2024-06-21T00:00:00"/>
    <n v="138"/>
    <x v="0"/>
    <x v="0"/>
    <s v="Dr Amelia Hughes"/>
    <s v="31-45"/>
    <s v="Yes"/>
    <s v="Breach"/>
  </r>
  <r>
    <s v="NHS-0033"/>
    <x v="2"/>
    <x v="1"/>
    <s v="A&amp;E"/>
    <d v="2024-06-30T00:00:00"/>
    <d v="2024-12-14T00:00:00"/>
    <n v="167"/>
    <x v="0"/>
    <x v="1"/>
    <s v="Mrs Hannah Wilson"/>
    <s v="76+"/>
    <s v="Yes"/>
    <s v="Breach"/>
  </r>
  <r>
    <s v="NHS-0034"/>
    <x v="5"/>
    <x v="2"/>
    <s v="A&amp;E"/>
    <d v="2024-04-12T00:00:00"/>
    <d v="2024-08-02T00:00:00"/>
    <n v="112"/>
    <x v="0"/>
    <x v="1"/>
    <s v="Mr George Williams"/>
    <s v="31-45"/>
    <s v="Yes"/>
    <s v="Breach"/>
  </r>
  <r>
    <s v="NHS-0035"/>
    <x v="4"/>
    <x v="1"/>
    <s v="Orthopaedics"/>
    <d v="2024-04-02T00:00:00"/>
    <d v="2024-08-01T00:00:00"/>
    <n v="121"/>
    <x v="0"/>
    <x v="1"/>
    <s v="Dr Mohammed Khan"/>
    <s v="31-45"/>
    <s v="Yes"/>
    <s v="Breach"/>
  </r>
  <r>
    <s v="NHS-0036"/>
    <x v="1"/>
    <x v="0"/>
    <s v="Orthopaedics"/>
    <d v="2024-04-29T00:00:00"/>
    <d v="2024-05-13T00:00:00"/>
    <n v="14"/>
    <x v="2"/>
    <x v="1"/>
    <s v="Mrs Rebecca Green"/>
    <s v="46-60"/>
    <s v="Yes"/>
    <s v="Emergency Target"/>
  </r>
  <r>
    <s v="NHS-0037"/>
    <x v="4"/>
    <x v="1"/>
    <s v="Neurology"/>
    <d v="2024-04-03T00:00:00"/>
    <d v="2024-06-09T00:00:00"/>
    <n v="67"/>
    <x v="1"/>
    <x v="1"/>
    <s v="Mrs Emily Davies"/>
    <s v="76+"/>
    <s v="Yes"/>
    <s v="Within 18 Weeks"/>
  </r>
  <r>
    <s v="NHS-0038"/>
    <x v="1"/>
    <x v="0"/>
    <s v="Cardiology"/>
    <d v="2024-06-23T00:00:00"/>
    <d v="2024-11-07T00:00:00"/>
    <n v="137"/>
    <x v="0"/>
    <x v="1"/>
    <s v="Miss Charlotte Brown"/>
    <s v="31-45"/>
    <s v="Yes"/>
    <s v="Breach"/>
  </r>
  <r>
    <s v="NHS-0039"/>
    <x v="0"/>
    <x v="0"/>
    <s v="Orthopaedics"/>
    <d v="2024-04-22T00:00:00"/>
    <d v="2024-08-25T00:00:00"/>
    <n v="125"/>
    <x v="0"/>
    <x v="0"/>
    <s v="Dr Mohammed Khan"/>
    <s v="46-60"/>
    <s v="Yes"/>
    <s v="Breach"/>
  </r>
  <r>
    <s v="NHS-0040"/>
    <x v="0"/>
    <x v="0"/>
    <s v="Neurology"/>
    <d v="2024-02-13T00:00:00"/>
    <d v="2024-06-21T00:00:00"/>
    <n v="129"/>
    <x v="0"/>
    <x v="1"/>
    <s v="Miss Aisha Rahman"/>
    <s v="61-75"/>
    <s v="No"/>
    <s v="Breach"/>
  </r>
  <r>
    <s v="NHS-0041"/>
    <x v="7"/>
    <x v="1"/>
    <s v="Orthopaedics"/>
    <d v="2024-01-09T00:00:00"/>
    <d v="2024-03-13T00:00:00"/>
    <n v="64"/>
    <x v="1"/>
    <x v="0"/>
    <s v="Mrs Priya Shah"/>
    <s v="76+"/>
    <s v="Yes"/>
    <s v="Within 18 Weeks"/>
  </r>
  <r>
    <s v="NHS-0042"/>
    <x v="2"/>
    <x v="1"/>
    <s v="General Surgery"/>
    <d v="2024-01-24T00:00:00"/>
    <d v="2024-03-21T00:00:00"/>
    <n v="57"/>
    <x v="1"/>
    <x v="1"/>
    <s v="Miss Aisha Rahman"/>
    <s v="61-75"/>
    <s v="Yes"/>
    <s v="Within 18 Weeks"/>
  </r>
  <r>
    <s v="NHS-0043"/>
    <x v="2"/>
    <x v="1"/>
    <s v="Cardiology"/>
    <d v="2024-01-02T00:00:00"/>
    <d v="2024-06-29T00:00:00"/>
    <n v="179"/>
    <x v="0"/>
    <x v="1"/>
    <s v="Mrs Nicola Roberts"/>
    <s v="76+"/>
    <s v="No"/>
    <s v="Breach"/>
  </r>
  <r>
    <s v="NHS-0044"/>
    <x v="4"/>
    <x v="1"/>
    <s v="Orthopaedics"/>
    <d v="2024-01-21T00:00:00"/>
    <d v="2024-02-04T00:00:00"/>
    <n v="14"/>
    <x v="2"/>
    <x v="1"/>
    <s v="Mrs Hannah Wilson"/>
    <s v="76+"/>
    <s v="No"/>
    <s v="Emergency Target"/>
  </r>
  <r>
    <s v="NHS-0045"/>
    <x v="1"/>
    <x v="0"/>
    <s v="Neurology"/>
    <d v="2024-06-17T00:00:00"/>
    <d v="2024-08-11T00:00:00"/>
    <n v="55"/>
    <x v="1"/>
    <x v="1"/>
    <s v="Mrs Priya Shah"/>
    <s v="18-30"/>
    <s v="Yes"/>
    <s v="Within 18 Weeks"/>
  </r>
  <r>
    <s v="NHS-0046"/>
    <x v="4"/>
    <x v="1"/>
    <s v="A&amp;E"/>
    <d v="2024-03-14T00:00:00"/>
    <d v="2024-08-08T00:00:00"/>
    <n v="147"/>
    <x v="0"/>
    <x v="1"/>
    <s v="Dr Mohammed Khan"/>
    <s v="31-45"/>
    <s v="No"/>
    <s v="Breach"/>
  </r>
  <r>
    <s v="NHS-0047"/>
    <x v="2"/>
    <x v="1"/>
    <s v="General Surgery"/>
    <d v="2024-05-11T00:00:00"/>
    <d v="2024-11-04T00:00:00"/>
    <n v="177"/>
    <x v="0"/>
    <x v="1"/>
    <s v="Mrs Hannah Wilson"/>
    <s v="76+"/>
    <s v="Yes"/>
    <s v="Breach"/>
  </r>
  <r>
    <s v="NHS-0048"/>
    <x v="4"/>
    <x v="1"/>
    <s v="Oncology"/>
    <d v="2024-02-08T00:00:00"/>
    <d v="2024-04-27T00:00:00"/>
    <n v="79"/>
    <x v="1"/>
    <x v="0"/>
    <s v="Dr Sarah Mitchell"/>
    <s v="31-45"/>
    <s v="Yes"/>
    <s v="Within 18 Weeks"/>
  </r>
  <r>
    <s v="NHS-0049"/>
    <x v="3"/>
    <x v="1"/>
    <s v="Neurology"/>
    <d v="2024-01-05T00:00:00"/>
    <d v="2024-06-05T00:00:00"/>
    <n v="152"/>
    <x v="0"/>
    <x v="1"/>
    <s v="Mr Daniel Thompson"/>
    <s v="61-75"/>
    <s v="No"/>
    <s v="Breach"/>
  </r>
  <r>
    <s v="NHS-0050"/>
    <x v="1"/>
    <x v="0"/>
    <s v="Oncology"/>
    <d v="2024-05-12T00:00:00"/>
    <d v="2024-07-01T00:00:00"/>
    <n v="50"/>
    <x v="1"/>
    <x v="1"/>
    <s v="Mr George Williams"/>
    <s v="61-75"/>
    <s v="Yes"/>
    <s v="Within 18 Weeks"/>
  </r>
  <r>
    <s v="NHS-0051"/>
    <x v="7"/>
    <x v="1"/>
    <s v="Neurology"/>
    <d v="2024-01-17T00:00:00"/>
    <d v="2024-06-23T00:00:00"/>
    <n v="158"/>
    <x v="0"/>
    <x v="1"/>
    <s v="Dr Amelia Hughes"/>
    <s v="18-30"/>
    <s v="Yes"/>
    <s v="Breach"/>
  </r>
  <r>
    <s v="NHS-0052"/>
    <x v="0"/>
    <x v="0"/>
    <s v="Cardiology"/>
    <d v="2024-03-24T00:00:00"/>
    <d v="2024-08-03T00:00:00"/>
    <n v="132"/>
    <x v="0"/>
    <x v="1"/>
    <s v="Mrs Emily Davies"/>
    <s v="18-30"/>
    <s v="Yes"/>
    <s v="Breach"/>
  </r>
  <r>
    <s v="NHS-0053"/>
    <x v="6"/>
    <x v="3"/>
    <s v="Neurology"/>
    <d v="2024-04-27T00:00:00"/>
    <d v="2024-06-09T00:00:00"/>
    <n v="43"/>
    <x v="1"/>
    <x v="1"/>
    <s v="Mr Henry Walker"/>
    <s v="31-45"/>
    <s v="Yes"/>
    <s v="Within 18 Weeks"/>
  </r>
  <r>
    <s v="NHS-0054"/>
    <x v="0"/>
    <x v="0"/>
    <s v="Oncology"/>
    <d v="2024-02-15T00:00:00"/>
    <d v="2024-05-27T00:00:00"/>
    <n v="102"/>
    <x v="0"/>
    <x v="1"/>
    <s v="Dr Amelia Hughes"/>
    <s v="61-75"/>
    <s v="Yes"/>
    <s v="Within 18 Weeks"/>
  </r>
  <r>
    <s v="NHS-0055"/>
    <x v="1"/>
    <x v="0"/>
    <s v="Oncology"/>
    <d v="2024-06-12T00:00:00"/>
    <d v="2024-11-12T00:00:00"/>
    <n v="153"/>
    <x v="0"/>
    <x v="1"/>
    <s v="Mrs Hannah Wilson"/>
    <s v="46-60"/>
    <s v="Yes"/>
    <s v="Breach"/>
  </r>
  <r>
    <s v="NHS-0056"/>
    <x v="7"/>
    <x v="1"/>
    <s v="Orthopaedics"/>
    <d v="2024-02-17T00:00:00"/>
    <d v="2024-08-02T00:00:00"/>
    <n v="167"/>
    <x v="0"/>
    <x v="2"/>
    <s v="Mrs Emily Davies"/>
    <s v="76+"/>
    <s v="No"/>
    <s v="Breach"/>
  </r>
  <r>
    <s v="NHS-0057"/>
    <x v="0"/>
    <x v="0"/>
    <s v="Neurology"/>
    <d v="2024-06-18T00:00:00"/>
    <d v="2024-11-29T00:00:00"/>
    <n v="164"/>
    <x v="0"/>
    <x v="0"/>
    <s v="Mr Daniel Thompson"/>
    <s v="18-30"/>
    <s v="No"/>
    <s v="Breach"/>
  </r>
  <r>
    <s v="NHS-0058"/>
    <x v="1"/>
    <x v="0"/>
    <s v="Orthopaedics"/>
    <d v="2024-04-12T00:00:00"/>
    <d v="2024-09-08T00:00:00"/>
    <n v="149"/>
    <x v="0"/>
    <x v="1"/>
    <s v="Miss Lucy Morgan"/>
    <s v="18-30"/>
    <s v="Yes"/>
    <s v="Breach"/>
  </r>
  <r>
    <s v="NHS-0059"/>
    <x v="7"/>
    <x v="1"/>
    <s v="Oncology"/>
    <d v="2024-03-05T00:00:00"/>
    <d v="2024-08-13T00:00:00"/>
    <n v="161"/>
    <x v="0"/>
    <x v="0"/>
    <s v="Dr Amelia Hughes"/>
    <s v="61-75"/>
    <s v="No"/>
    <s v="Breach"/>
  </r>
  <r>
    <s v="NHS-0060"/>
    <x v="7"/>
    <x v="1"/>
    <s v="Cardiology"/>
    <d v="2024-05-11T00:00:00"/>
    <d v="2024-08-31T00:00:00"/>
    <n v="112"/>
    <x v="0"/>
    <x v="1"/>
    <s v="Mrs Rebecca Green"/>
    <s v="76+"/>
    <s v="Yes"/>
    <s v="Breach"/>
  </r>
  <r>
    <s v="NHS-0061"/>
    <x v="0"/>
    <x v="0"/>
    <s v="Orthopaedics"/>
    <d v="2024-05-14T00:00:00"/>
    <d v="2024-09-07T00:00:00"/>
    <n v="116"/>
    <x v="0"/>
    <x v="0"/>
    <s v="Mrs Priya Shah"/>
    <s v="31-45"/>
    <s v="Yes"/>
    <s v="Breach"/>
  </r>
  <r>
    <s v="NHS-0062"/>
    <x v="7"/>
    <x v="1"/>
    <s v="Orthopaedics"/>
    <d v="2024-01-11T00:00:00"/>
    <d v="2024-02-23T00:00:00"/>
    <n v="43"/>
    <x v="1"/>
    <x v="1"/>
    <s v="Mrs Nicola Roberts"/>
    <s v="61-75"/>
    <s v="Yes"/>
    <s v="Within 18 Weeks"/>
  </r>
  <r>
    <s v="NHS-0063"/>
    <x v="1"/>
    <x v="0"/>
    <s v="General Surgery"/>
    <d v="2024-04-18T00:00:00"/>
    <d v="2024-06-24T00:00:00"/>
    <n v="67"/>
    <x v="1"/>
    <x v="1"/>
    <s v="Miss Lucy Morgan"/>
    <s v="18-30"/>
    <s v="Yes"/>
    <s v="Within 18 Weeks"/>
  </r>
  <r>
    <s v="NHS-0064"/>
    <x v="1"/>
    <x v="0"/>
    <s v="Oncology"/>
    <d v="2024-02-16T00:00:00"/>
    <d v="2024-04-27T00:00:00"/>
    <n v="71"/>
    <x v="1"/>
    <x v="0"/>
    <s v="Mr Oliver Bennett"/>
    <s v="61-75"/>
    <s v="Yes"/>
    <s v="Within 18 Weeks"/>
  </r>
  <r>
    <s v="NHS-0065"/>
    <x v="3"/>
    <x v="1"/>
    <s v="Cardiology"/>
    <d v="2024-05-06T00:00:00"/>
    <d v="2024-10-06T00:00:00"/>
    <n v="153"/>
    <x v="0"/>
    <x v="1"/>
    <s v="Dr Sarah Mitchell"/>
    <s v="18-30"/>
    <s v="Yes"/>
    <s v="Breach"/>
  </r>
  <r>
    <s v="NHS-0066"/>
    <x v="2"/>
    <x v="1"/>
    <s v="Orthopaedics"/>
    <d v="2024-06-09T00:00:00"/>
    <d v="2024-08-21T00:00:00"/>
    <n v="73"/>
    <x v="1"/>
    <x v="2"/>
    <s v="Mr Daniel Thompson"/>
    <s v="18-30"/>
    <s v="No"/>
    <s v="Within 18 Weeks"/>
  </r>
  <r>
    <s v="NHS-0067"/>
    <x v="4"/>
    <x v="1"/>
    <s v="Oncology"/>
    <d v="2024-05-11T00:00:00"/>
    <d v="2024-06-07T00:00:00"/>
    <n v="27"/>
    <x v="2"/>
    <x v="1"/>
    <s v="Dr Amelia Hughes"/>
    <s v="61-75"/>
    <s v="Yes"/>
    <s v="Within 18 Weeks"/>
  </r>
  <r>
    <s v="NHS-0068"/>
    <x v="6"/>
    <x v="3"/>
    <s v="Orthopaedics"/>
    <d v="2024-01-21T00:00:00"/>
    <d v="2024-04-06T00:00:00"/>
    <n v="76"/>
    <x v="1"/>
    <x v="1"/>
    <s v="Miss Sophie Clarke"/>
    <s v="46-60"/>
    <s v="Yes"/>
    <s v="Within 18 Weeks"/>
  </r>
  <r>
    <s v="NHS-0069"/>
    <x v="7"/>
    <x v="1"/>
    <s v="Oncology"/>
    <d v="2024-05-11T00:00:00"/>
    <d v="2024-08-11T00:00:00"/>
    <n v="92"/>
    <x v="0"/>
    <x v="1"/>
    <s v="Miss Grace Lewis"/>
    <s v="46-60"/>
    <s v="Yes"/>
    <s v="Within 18 Weeks"/>
  </r>
  <r>
    <s v="NHS-0070"/>
    <x v="0"/>
    <x v="0"/>
    <s v="Oncology"/>
    <d v="2024-02-17T00:00:00"/>
    <d v="2024-05-10T00:00:00"/>
    <n v="83"/>
    <x v="1"/>
    <x v="0"/>
    <s v="Dr Amelia Hughes"/>
    <s v="18-30"/>
    <s v="Yes"/>
    <s v="Within 18 Weeks"/>
  </r>
  <r>
    <s v="NHS-0071"/>
    <x v="3"/>
    <x v="1"/>
    <s v="Neurology"/>
    <d v="2024-02-16T00:00:00"/>
    <d v="2024-04-20T00:00:00"/>
    <n v="64"/>
    <x v="1"/>
    <x v="1"/>
    <s v="Miss Lucy Morgan"/>
    <s v="46-60"/>
    <s v="Yes"/>
    <s v="Within 18 Weeks"/>
  </r>
  <r>
    <s v="NHS-0072"/>
    <x v="4"/>
    <x v="1"/>
    <s v="Orthopaedics"/>
    <d v="2024-04-05T00:00:00"/>
    <d v="2024-04-26T00:00:00"/>
    <n v="21"/>
    <x v="2"/>
    <x v="1"/>
    <s v="Dr Amelia Hughes"/>
    <s v="18-30"/>
    <s v="Yes"/>
    <s v="Within 18 Weeks"/>
  </r>
  <r>
    <s v="NHS-0073"/>
    <x v="6"/>
    <x v="3"/>
    <s v="Orthopaedics"/>
    <d v="2024-03-02T00:00:00"/>
    <d v="2024-07-22T00:00:00"/>
    <n v="142"/>
    <x v="0"/>
    <x v="2"/>
    <s v="Miss Aisha Rahman"/>
    <s v="18-30"/>
    <s v="Yes"/>
    <s v="Breach"/>
  </r>
  <r>
    <s v="NHS-0074"/>
    <x v="4"/>
    <x v="1"/>
    <s v="General Surgery"/>
    <d v="2024-02-03T00:00:00"/>
    <d v="2024-07-08T00:00:00"/>
    <n v="156"/>
    <x v="0"/>
    <x v="1"/>
    <s v="Dr Mohammed Khan"/>
    <s v="31-45"/>
    <s v="No"/>
    <s v="Breach"/>
  </r>
  <r>
    <s v="NHS-0075"/>
    <x v="7"/>
    <x v="1"/>
    <s v="Oncology"/>
    <d v="2024-02-13T00:00:00"/>
    <d v="2024-05-01T00:00:00"/>
    <n v="78"/>
    <x v="1"/>
    <x v="1"/>
    <s v="Miss Grace Lewis"/>
    <s v="46-60"/>
    <s v="Yes"/>
    <s v="Within 18 Weeks"/>
  </r>
  <r>
    <s v="NHS-0076"/>
    <x v="7"/>
    <x v="1"/>
    <s v="Oncology"/>
    <d v="2024-03-28T00:00:00"/>
    <d v="2024-07-09T00:00:00"/>
    <n v="103"/>
    <x v="0"/>
    <x v="1"/>
    <s v="Mr Edward Taylor"/>
    <s v="31-45"/>
    <s v="No"/>
    <s v="Within 18 Weeks"/>
  </r>
  <r>
    <s v="NHS-0077"/>
    <x v="0"/>
    <x v="0"/>
    <s v="Cardiology"/>
    <d v="2024-02-27T00:00:00"/>
    <d v="2024-03-20T00:00:00"/>
    <n v="22"/>
    <x v="2"/>
    <x v="0"/>
    <s v="Miss Sophie Clarke"/>
    <s v="61-75"/>
    <s v="Yes"/>
    <s v="Within 18 Weeks"/>
  </r>
  <r>
    <s v="NHS-0078"/>
    <x v="2"/>
    <x v="1"/>
    <s v="Oncology"/>
    <d v="2024-06-30T00:00:00"/>
    <d v="2024-11-15T00:00:00"/>
    <n v="138"/>
    <x v="0"/>
    <x v="1"/>
    <s v="Dr James Patel"/>
    <s v="31-45"/>
    <s v="Yes"/>
    <s v="Breach"/>
  </r>
  <r>
    <s v="NHS-0079"/>
    <x v="3"/>
    <x v="1"/>
    <s v="General Surgery"/>
    <d v="2024-05-16T00:00:00"/>
    <d v="2024-07-28T00:00:00"/>
    <n v="73"/>
    <x v="1"/>
    <x v="1"/>
    <s v="Dr Sarah Mitchell"/>
    <s v="76+"/>
    <s v="Yes"/>
    <s v="Within 18 Weeks"/>
  </r>
  <r>
    <s v="NHS-0080"/>
    <x v="2"/>
    <x v="1"/>
    <s v="A&amp;E"/>
    <d v="2024-02-22T00:00:00"/>
    <d v="2024-04-12T00:00:00"/>
    <n v="50"/>
    <x v="1"/>
    <x v="1"/>
    <s v="Dr Thomas Evans"/>
    <s v="18-30"/>
    <s v="No"/>
    <s v="Within 18 Week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FE6C5E2-F5F4-4924-B157-8C18DECFBADF}" name="PivotTable1" cacheId="21" applyNumberFormats="0" applyBorderFormats="0" applyFontFormats="0" applyPatternFormats="0" applyAlignmentFormats="0" applyWidthHeightFormats="1" dataCaption="Values" tag="e994bb36-4f4f-4959-965c-ca336dd7c3e3" updatedVersion="6" minRefreshableVersion="3" useAutoFormatting="1" itemPrintTitles="1" createdVersion="6" indent="0" outline="1" outlineData="1" multipleFieldFilters="0">
  <location ref="A1:E10" firstHeaderRow="0" firstDataRow="1" firstDataCol="1"/>
  <pivotFields count="5">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s>
  <rowFields count="1">
    <field x="4"/>
  </rowFields>
  <rowItems count="9">
    <i>
      <x/>
    </i>
    <i>
      <x v="1"/>
    </i>
    <i>
      <x v="2"/>
    </i>
    <i>
      <x v="3"/>
    </i>
    <i>
      <x v="4"/>
    </i>
    <i>
      <x v="5"/>
    </i>
    <i>
      <x v="6"/>
    </i>
    <i>
      <x v="7"/>
    </i>
    <i t="grand">
      <x/>
    </i>
  </rowItems>
  <colFields count="1">
    <field x="-2"/>
  </colFields>
  <colItems count="4">
    <i>
      <x/>
    </i>
    <i i="1">
      <x v="1"/>
    </i>
    <i i="2">
      <x v="2"/>
    </i>
    <i i="3">
      <x v="3"/>
    </i>
  </colItems>
  <dataFields count="4">
    <dataField fld="3" subtotal="count" baseField="0" baseItem="0"/>
    <dataField fld="0" subtotal="count" baseField="0" baseItem="0"/>
    <dataField fld="1" subtotal="count" baseField="0" baseItem="0"/>
    <dataField fld="2" subtotal="count" baseField="4" baseItem="0" numFmtId="165"/>
  </dataFields>
  <pivotHierarchies count="2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D0C3F1-430D-4A64-98E8-08E0AFEFD614}"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26:E32" firstHeaderRow="1" firstDataRow="2" firstDataCol="1"/>
  <pivotFields count="13">
    <pivotField dataField="1" showAll="0"/>
    <pivotField showAll="0"/>
    <pivotField axis="axisRow" showAll="0">
      <items count="5">
        <item x="3"/>
        <item x="0"/>
        <item x="1"/>
        <item x="2"/>
        <item t="default"/>
      </items>
    </pivotField>
    <pivotField showAll="0"/>
    <pivotField numFmtId="22" showAll="0"/>
    <pivotField numFmtId="22" showAll="0"/>
    <pivotField showAll="0"/>
    <pivotField axis="axisCol" showAll="0">
      <items count="4">
        <item x="2"/>
        <item x="0"/>
        <item x="1"/>
        <item t="default"/>
      </items>
    </pivotField>
    <pivotField showAll="0"/>
    <pivotField showAll="0"/>
    <pivotField showAll="0"/>
    <pivotField showAll="0"/>
    <pivotField showAll="0"/>
  </pivotFields>
  <rowFields count="1">
    <field x="2"/>
  </rowFields>
  <rowItems count="5">
    <i>
      <x/>
    </i>
    <i>
      <x v="1"/>
    </i>
    <i>
      <x v="2"/>
    </i>
    <i>
      <x v="3"/>
    </i>
    <i t="grand">
      <x/>
    </i>
  </rowItems>
  <colFields count="1">
    <field x="7"/>
  </colFields>
  <colItems count="4">
    <i>
      <x/>
    </i>
    <i>
      <x v="1"/>
    </i>
    <i>
      <x v="2"/>
    </i>
    <i t="grand">
      <x/>
    </i>
  </colItems>
  <dataFields count="1">
    <dataField name="Count of NHS Number" fld="0" subtotal="count" baseField="2" baseItem="0"/>
  </dataFields>
  <chartFormats count="3">
    <chartFormat chart="8" format="3" series="1">
      <pivotArea type="data" outline="0" fieldPosition="0">
        <references count="2">
          <reference field="4294967294" count="1" selected="0">
            <x v="0"/>
          </reference>
          <reference field="7" count="1" selected="0">
            <x v="0"/>
          </reference>
        </references>
      </pivotArea>
    </chartFormat>
    <chartFormat chart="8" format="4" series="1">
      <pivotArea type="data" outline="0" fieldPosition="0">
        <references count="2">
          <reference field="4294967294" count="1" selected="0">
            <x v="0"/>
          </reference>
          <reference field="7" count="1" selected="0">
            <x v="1"/>
          </reference>
        </references>
      </pivotArea>
    </chartFormat>
    <chartFormat chart="8" format="5" series="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94E1951-7238-4829-9980-8A00B97A231F}" name="PivotTable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12:E22" firstHeaderRow="1" firstDataRow="2" firstDataCol="1"/>
  <pivotFields count="13">
    <pivotField dataField="1" showAll="0"/>
    <pivotField axis="axisRow" showAll="0">
      <items count="9">
        <item x="0"/>
        <item x="5"/>
        <item x="6"/>
        <item x="7"/>
        <item x="3"/>
        <item x="4"/>
        <item x="1"/>
        <item x="2"/>
        <item t="default"/>
      </items>
    </pivotField>
    <pivotField showAll="0"/>
    <pivotField showAll="0"/>
    <pivotField numFmtId="22" showAll="0"/>
    <pivotField numFmtId="22" showAll="0"/>
    <pivotField showAll="0"/>
    <pivotField showAll="0"/>
    <pivotField axis="axisCol" showAll="0">
      <items count="4">
        <item x="2"/>
        <item x="1"/>
        <item x="0"/>
        <item t="default"/>
      </items>
    </pivotField>
    <pivotField showAll="0"/>
    <pivotField showAll="0"/>
    <pivotField showAll="0"/>
    <pivotField showAll="0"/>
  </pivotFields>
  <rowFields count="1">
    <field x="1"/>
  </rowFields>
  <rowItems count="9">
    <i>
      <x/>
    </i>
    <i>
      <x v="1"/>
    </i>
    <i>
      <x v="2"/>
    </i>
    <i>
      <x v="3"/>
    </i>
    <i>
      <x v="4"/>
    </i>
    <i>
      <x v="5"/>
    </i>
    <i>
      <x v="6"/>
    </i>
    <i>
      <x v="7"/>
    </i>
    <i t="grand">
      <x/>
    </i>
  </rowItems>
  <colFields count="1">
    <field x="8"/>
  </colFields>
  <colItems count="4">
    <i>
      <x/>
    </i>
    <i>
      <x v="1"/>
    </i>
    <i>
      <x v="2"/>
    </i>
    <i t="grand">
      <x/>
    </i>
  </colItems>
  <dataFields count="1">
    <dataField name="Count of NHS Number" fld="0" subtotal="count" baseField="1" baseItem="4"/>
  </dataFields>
  <chartFormats count="27">
    <chartFormat chart="1" format="3" series="1">
      <pivotArea type="data" outline="0" fieldPosition="0">
        <references count="2">
          <reference field="4294967294" count="1" selected="0">
            <x v="0"/>
          </reference>
          <reference field="8" count="1" selected="0">
            <x v="0"/>
          </reference>
        </references>
      </pivotArea>
    </chartFormat>
    <chartFormat chart="1" format="4">
      <pivotArea type="data" outline="0" fieldPosition="0">
        <references count="3">
          <reference field="4294967294" count="1" selected="0">
            <x v="0"/>
          </reference>
          <reference field="1" count="1" selected="0">
            <x v="0"/>
          </reference>
          <reference field="8" count="1" selected="0">
            <x v="0"/>
          </reference>
        </references>
      </pivotArea>
    </chartFormat>
    <chartFormat chart="1" format="5">
      <pivotArea type="data" outline="0" fieldPosition="0">
        <references count="3">
          <reference field="4294967294" count="1" selected="0">
            <x v="0"/>
          </reference>
          <reference field="1" count="1" selected="0">
            <x v="1"/>
          </reference>
          <reference field="8" count="1" selected="0">
            <x v="0"/>
          </reference>
        </references>
      </pivotArea>
    </chartFormat>
    <chartFormat chart="1" format="6">
      <pivotArea type="data" outline="0" fieldPosition="0">
        <references count="3">
          <reference field="4294967294" count="1" selected="0">
            <x v="0"/>
          </reference>
          <reference field="1" count="1" selected="0">
            <x v="2"/>
          </reference>
          <reference field="8" count="1" selected="0">
            <x v="0"/>
          </reference>
        </references>
      </pivotArea>
    </chartFormat>
    <chartFormat chart="1" format="7">
      <pivotArea type="data" outline="0" fieldPosition="0">
        <references count="3">
          <reference field="4294967294" count="1" selected="0">
            <x v="0"/>
          </reference>
          <reference field="1" count="1" selected="0">
            <x v="3"/>
          </reference>
          <reference field="8" count="1" selected="0">
            <x v="0"/>
          </reference>
        </references>
      </pivotArea>
    </chartFormat>
    <chartFormat chart="1" format="8">
      <pivotArea type="data" outline="0" fieldPosition="0">
        <references count="3">
          <reference field="4294967294" count="1" selected="0">
            <x v="0"/>
          </reference>
          <reference field="1" count="1" selected="0">
            <x v="4"/>
          </reference>
          <reference field="8" count="1" selected="0">
            <x v="0"/>
          </reference>
        </references>
      </pivotArea>
    </chartFormat>
    <chartFormat chart="1" format="9">
      <pivotArea type="data" outline="0" fieldPosition="0">
        <references count="3">
          <reference field="4294967294" count="1" selected="0">
            <x v="0"/>
          </reference>
          <reference field="1" count="1" selected="0">
            <x v="5"/>
          </reference>
          <reference field="8" count="1" selected="0">
            <x v="0"/>
          </reference>
        </references>
      </pivotArea>
    </chartFormat>
    <chartFormat chart="1" format="10">
      <pivotArea type="data" outline="0" fieldPosition="0">
        <references count="3">
          <reference field="4294967294" count="1" selected="0">
            <x v="0"/>
          </reference>
          <reference field="1" count="1" selected="0">
            <x v="6"/>
          </reference>
          <reference field="8" count="1" selected="0">
            <x v="0"/>
          </reference>
        </references>
      </pivotArea>
    </chartFormat>
    <chartFormat chart="1" format="11">
      <pivotArea type="data" outline="0" fieldPosition="0">
        <references count="3">
          <reference field="4294967294" count="1" selected="0">
            <x v="0"/>
          </reference>
          <reference field="1" count="1" selected="0">
            <x v="7"/>
          </reference>
          <reference field="8" count="1" selected="0">
            <x v="0"/>
          </reference>
        </references>
      </pivotArea>
    </chartFormat>
    <chartFormat chart="1" format="12" series="1">
      <pivotArea type="data" outline="0" fieldPosition="0">
        <references count="2">
          <reference field="4294967294" count="1" selected="0">
            <x v="0"/>
          </reference>
          <reference field="8" count="1" selected="0">
            <x v="1"/>
          </reference>
        </references>
      </pivotArea>
    </chartFormat>
    <chartFormat chart="1" format="13">
      <pivotArea type="data" outline="0" fieldPosition="0">
        <references count="3">
          <reference field="4294967294" count="1" selected="0">
            <x v="0"/>
          </reference>
          <reference field="1" count="1" selected="0">
            <x v="0"/>
          </reference>
          <reference field="8" count="1" selected="0">
            <x v="1"/>
          </reference>
        </references>
      </pivotArea>
    </chartFormat>
    <chartFormat chart="1" format="14">
      <pivotArea type="data" outline="0" fieldPosition="0">
        <references count="3">
          <reference field="4294967294" count="1" selected="0">
            <x v="0"/>
          </reference>
          <reference field="1" count="1" selected="0">
            <x v="1"/>
          </reference>
          <reference field="8" count="1" selected="0">
            <x v="1"/>
          </reference>
        </references>
      </pivotArea>
    </chartFormat>
    <chartFormat chart="1" format="15">
      <pivotArea type="data" outline="0" fieldPosition="0">
        <references count="3">
          <reference field="4294967294" count="1" selected="0">
            <x v="0"/>
          </reference>
          <reference field="1" count="1" selected="0">
            <x v="2"/>
          </reference>
          <reference field="8" count="1" selected="0">
            <x v="1"/>
          </reference>
        </references>
      </pivotArea>
    </chartFormat>
    <chartFormat chart="1" format="16">
      <pivotArea type="data" outline="0" fieldPosition="0">
        <references count="3">
          <reference field="4294967294" count="1" selected="0">
            <x v="0"/>
          </reference>
          <reference field="1" count="1" selected="0">
            <x v="3"/>
          </reference>
          <reference field="8" count="1" selected="0">
            <x v="1"/>
          </reference>
        </references>
      </pivotArea>
    </chartFormat>
    <chartFormat chart="1" format="17">
      <pivotArea type="data" outline="0" fieldPosition="0">
        <references count="3">
          <reference field="4294967294" count="1" selected="0">
            <x v="0"/>
          </reference>
          <reference field="1" count="1" selected="0">
            <x v="4"/>
          </reference>
          <reference field="8" count="1" selected="0">
            <x v="1"/>
          </reference>
        </references>
      </pivotArea>
    </chartFormat>
    <chartFormat chart="1" format="18">
      <pivotArea type="data" outline="0" fieldPosition="0">
        <references count="3">
          <reference field="4294967294" count="1" selected="0">
            <x v="0"/>
          </reference>
          <reference field="1" count="1" selected="0">
            <x v="5"/>
          </reference>
          <reference field="8" count="1" selected="0">
            <x v="1"/>
          </reference>
        </references>
      </pivotArea>
    </chartFormat>
    <chartFormat chart="1" format="19">
      <pivotArea type="data" outline="0" fieldPosition="0">
        <references count="3">
          <reference field="4294967294" count="1" selected="0">
            <x v="0"/>
          </reference>
          <reference field="1" count="1" selected="0">
            <x v="6"/>
          </reference>
          <reference field="8" count="1" selected="0">
            <x v="1"/>
          </reference>
        </references>
      </pivotArea>
    </chartFormat>
    <chartFormat chart="1" format="20">
      <pivotArea type="data" outline="0" fieldPosition="0">
        <references count="3">
          <reference field="4294967294" count="1" selected="0">
            <x v="0"/>
          </reference>
          <reference field="1" count="1" selected="0">
            <x v="7"/>
          </reference>
          <reference field="8" count="1" selected="0">
            <x v="1"/>
          </reference>
        </references>
      </pivotArea>
    </chartFormat>
    <chartFormat chart="1" format="21" series="1">
      <pivotArea type="data" outline="0" fieldPosition="0">
        <references count="2">
          <reference field="4294967294" count="1" selected="0">
            <x v="0"/>
          </reference>
          <reference field="8" count="1" selected="0">
            <x v="2"/>
          </reference>
        </references>
      </pivotArea>
    </chartFormat>
    <chartFormat chart="1" format="22">
      <pivotArea type="data" outline="0" fieldPosition="0">
        <references count="3">
          <reference field="4294967294" count="1" selected="0">
            <x v="0"/>
          </reference>
          <reference field="1" count="1" selected="0">
            <x v="0"/>
          </reference>
          <reference field="8" count="1" selected="0">
            <x v="2"/>
          </reference>
        </references>
      </pivotArea>
    </chartFormat>
    <chartFormat chart="1" format="23">
      <pivotArea type="data" outline="0" fieldPosition="0">
        <references count="3">
          <reference field="4294967294" count="1" selected="0">
            <x v="0"/>
          </reference>
          <reference field="1" count="1" selected="0">
            <x v="1"/>
          </reference>
          <reference field="8" count="1" selected="0">
            <x v="2"/>
          </reference>
        </references>
      </pivotArea>
    </chartFormat>
    <chartFormat chart="1" format="24">
      <pivotArea type="data" outline="0" fieldPosition="0">
        <references count="3">
          <reference field="4294967294" count="1" selected="0">
            <x v="0"/>
          </reference>
          <reference field="1" count="1" selected="0">
            <x v="2"/>
          </reference>
          <reference field="8" count="1" selected="0">
            <x v="2"/>
          </reference>
        </references>
      </pivotArea>
    </chartFormat>
    <chartFormat chart="1" format="25">
      <pivotArea type="data" outline="0" fieldPosition="0">
        <references count="3">
          <reference field="4294967294" count="1" selected="0">
            <x v="0"/>
          </reference>
          <reference field="1" count="1" selected="0">
            <x v="3"/>
          </reference>
          <reference field="8" count="1" selected="0">
            <x v="2"/>
          </reference>
        </references>
      </pivotArea>
    </chartFormat>
    <chartFormat chart="1" format="26">
      <pivotArea type="data" outline="0" fieldPosition="0">
        <references count="3">
          <reference field="4294967294" count="1" selected="0">
            <x v="0"/>
          </reference>
          <reference field="1" count="1" selected="0">
            <x v="4"/>
          </reference>
          <reference field="8" count="1" selected="0">
            <x v="2"/>
          </reference>
        </references>
      </pivotArea>
    </chartFormat>
    <chartFormat chart="1" format="27">
      <pivotArea type="data" outline="0" fieldPosition="0">
        <references count="3">
          <reference field="4294967294" count="1" selected="0">
            <x v="0"/>
          </reference>
          <reference field="1" count="1" selected="0">
            <x v="5"/>
          </reference>
          <reference field="8" count="1" selected="0">
            <x v="2"/>
          </reference>
        </references>
      </pivotArea>
    </chartFormat>
    <chartFormat chart="1" format="28">
      <pivotArea type="data" outline="0" fieldPosition="0">
        <references count="3">
          <reference field="4294967294" count="1" selected="0">
            <x v="0"/>
          </reference>
          <reference field="1" count="1" selected="0">
            <x v="6"/>
          </reference>
          <reference field="8" count="1" selected="0">
            <x v="2"/>
          </reference>
        </references>
      </pivotArea>
    </chartFormat>
    <chartFormat chart="1" format="29">
      <pivotArea type="data" outline="0" fieldPosition="0">
        <references count="3">
          <reference field="4294967294" count="1" selected="0">
            <x v="0"/>
          </reference>
          <reference field="1" count="1" selected="0">
            <x v="7"/>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1F08340-4CCA-463D-8085-190974B2D556}"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1:B8" firstHeaderRow="1" firstDataRow="1" firstDataCol="1"/>
  <pivotFields count="12">
    <pivotField showAll="0"/>
    <pivotField showAll="0">
      <items count="5">
        <item x="3"/>
        <item x="0"/>
        <item x="1"/>
        <item x="2"/>
        <item t="default"/>
      </items>
    </pivotField>
    <pivotField axis="axisRow" showAll="0">
      <items count="7">
        <item x="2"/>
        <item x="0"/>
        <item x="1"/>
        <item x="3"/>
        <item x="5"/>
        <item x="4"/>
        <item t="default"/>
      </items>
    </pivotField>
    <pivotField numFmtId="22" showAll="0"/>
    <pivotField numFmtId="22" showAll="0"/>
    <pivotField dataField="1" showAll="0"/>
    <pivotField showAll="0"/>
    <pivotField showAll="0"/>
    <pivotField showAll="0"/>
    <pivotField showAll="0"/>
    <pivotField showAll="0"/>
    <pivotField showAll="0"/>
  </pivotFields>
  <rowFields count="1">
    <field x="2"/>
  </rowFields>
  <rowItems count="7">
    <i>
      <x/>
    </i>
    <i>
      <x v="1"/>
    </i>
    <i>
      <x v="2"/>
    </i>
    <i>
      <x v="3"/>
    </i>
    <i>
      <x v="4"/>
    </i>
    <i>
      <x v="5"/>
    </i>
    <i t="grand">
      <x/>
    </i>
  </rowItems>
  <colItems count="1">
    <i/>
  </colItems>
  <dataFields count="1">
    <dataField name="Avg Wait Days" fld="5" subtotal="average" baseField="2" baseItem="0" numFmtId="164"/>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529756A-EB9D-41AC-B8B5-884A1B6F5230}" autoFormatId="16" applyNumberFormats="0" applyBorderFormats="0" applyFontFormats="0" applyPatternFormats="0" applyAlignmentFormats="0" applyWidthHeightFormats="0">
  <queryTableRefresh nextId="14">
    <queryTableFields count="13">
      <queryTableField id="1" name="NHS Number" tableColumnId="1"/>
      <queryTableField id="2" name="Birmingham University Hospitals" tableColumnId="2"/>
      <queryTableField id="3" name="Midlands" tableColumnId="3"/>
      <queryTableField id="4" name="Orthopaedics" tableColumnId="4"/>
      <queryTableField id="5" name="31/03/2024" tableColumnId="5"/>
      <queryTableField id="6" name="18/06/2024" tableColumnId="6"/>
      <queryTableField id="7" name="Waiting Days" tableColumnId="7"/>
      <queryTableField id="8" name="Urgent" tableColumnId="8"/>
      <queryTableField id="9" name="Seen" tableColumnId="9"/>
      <queryTableField id="10" name="Miss Sophie Clarke" tableColumnId="10"/>
      <queryTableField id="11" name="76+" tableColumnId="11"/>
      <queryTableField id="12" name="Yes" tableColumnId="12"/>
      <queryTableField id="13" name="Waiting Category"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dlands" xr10:uid="{685E8CBD-BB3D-41E6-80EA-2891CC8B2383}" sourceName="Midlands">
  <pivotTables>
    <pivotTable tabId="4" name="PivotTable1"/>
  </pivotTables>
  <data>
    <tabular pivotCacheId="226506320">
      <items count="4">
        <i x="3" s="1"/>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idlands" xr10:uid="{E1DA44E4-F976-4D37-9245-0258F8FB0D87}" cache="Slicer_Midlands" caption="Midlands"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7C1A01D-53B4-4CE2-B919-B2230C90F86A}" name="Table1" displayName="Table1" ref="A1:L80" totalsRowShown="0" headerRowDxfId="19" dataDxfId="17" headerRowBorderDxfId="18" tableBorderDxfId="16" totalsRowBorderDxfId="15">
  <autoFilter ref="A1:L80" xr:uid="{2869D1F7-3722-4B7A-8B96-C0F6C51C0AF2}"/>
  <tableColumns count="12">
    <tableColumn id="1" xr3:uid="{E9EE00F3-4990-4AB7-A9CE-868D919B793E}" name="NHS-0001" dataDxfId="14"/>
    <tableColumn id="2" xr3:uid="{416CA16A-A337-4F51-A8AF-1798483DD36A}" name="Birmingham University Hospitals" dataDxfId="13"/>
    <tableColumn id="3" xr3:uid="{FD20E284-0E02-4AE7-B8AE-7EC06DD46A97}" name="Midlands" dataDxfId="12"/>
    <tableColumn id="4" xr3:uid="{9A1D509B-09E7-4221-9571-BF9FEE78F81F}" name="Orthopaedics" dataDxfId="11"/>
    <tableColumn id="5" xr3:uid="{C13EFBEC-07D2-4975-8B77-E7FAD491C39B}" name="31/03/2024" dataDxfId="10"/>
    <tableColumn id="6" xr3:uid="{D76E0919-FD0C-487B-B094-2F27497AC321}" name="18/06/2024" dataDxfId="9"/>
    <tableColumn id="7" xr3:uid="{F26FC647-FEC2-4A6E-B08C-50C6E973C433}" name="79" dataDxfId="8"/>
    <tableColumn id="8" xr3:uid="{57A9645C-3BD5-4F48-9D0C-8AAB30956944}" name="Urgent" dataDxfId="7"/>
    <tableColumn id="9" xr3:uid="{756FA14D-C74C-45F3-8178-133AB76827BD}" name="Seen" dataDxfId="6"/>
    <tableColumn id="10" xr3:uid="{2EC87004-2871-4C71-A6E1-1ABCDB5FC66D}" name="Miss Sophie Clarke" dataDxfId="5"/>
    <tableColumn id="11" xr3:uid="{5C23834F-F5D5-46CD-8B37-9D67DB706DAA}" name="76+" dataDxfId="4"/>
    <tableColumn id="12" xr3:uid="{2CC49692-398F-4E2F-A7D1-CF02E2189C64}" name="Yes" dataDxfId="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7C880F-17B2-4AED-A4CC-B0EDD4DA6731}" name="Table1_2" displayName="Table1_2" ref="A1:M80" tableType="queryTable" totalsRowShown="0" headerRowDxfId="2">
  <autoFilter ref="A1:M80" xr:uid="{DFF33440-A891-4891-8CBA-65A53C6C5168}"/>
  <tableColumns count="13">
    <tableColumn id="1" xr3:uid="{4C4C8A86-61BC-4EEC-BA35-C70ACFD3DB97}" uniqueName="1" name="NHS Number" queryTableFieldId="1"/>
    <tableColumn id="2" xr3:uid="{09A443FB-74E9-4AF4-8415-A0CCBFE3AA8F}" uniqueName="2" name="Birmingham University Hospitals" queryTableFieldId="2"/>
    <tableColumn id="3" xr3:uid="{4A78A910-39AC-4E76-99D7-BF8A31FAD728}" uniqueName="3" name="Midlands" queryTableFieldId="3"/>
    <tableColumn id="4" xr3:uid="{4DE0B53D-BC0E-49AE-B110-B6F92932CA48}" uniqueName="4" name="Orthopaedics" queryTableFieldId="4"/>
    <tableColumn id="5" xr3:uid="{53CC0CD3-575D-43AB-9AE6-FBC28914245B}" uniqueName="5" name="31/03/2024" queryTableFieldId="5" dataDxfId="1"/>
    <tableColumn id="6" xr3:uid="{7B553358-73A3-47E1-B55A-4EBD0A2C8FE8}" uniqueName="6" name="18/06/2024" queryTableFieldId="6" dataDxfId="0"/>
    <tableColumn id="7" xr3:uid="{EE56995D-6702-4F4C-AF1F-9B8133304EF7}" uniqueName="7" name="Waiting Days" queryTableFieldId="7"/>
    <tableColumn id="8" xr3:uid="{9ADC9F12-4D29-4512-87CD-AB277695F99A}" uniqueName="8" name="Urgent" queryTableFieldId="8"/>
    <tableColumn id="9" xr3:uid="{87390005-088E-472E-BBFC-8AA1847C72AF}" uniqueName="9" name="Seen" queryTableFieldId="9"/>
    <tableColumn id="10" xr3:uid="{2CBD78EC-B30A-46A6-BB5C-D05D601426D5}" uniqueName="10" name="Miss Sophie Clarke" queryTableFieldId="10"/>
    <tableColumn id="11" xr3:uid="{7B2B236A-7CE8-4E9F-9A2A-3D0D113214A6}" uniqueName="11" name="76+" queryTableFieldId="11"/>
    <tableColumn id="12" xr3:uid="{BCC45EDC-A220-4AAD-9140-7DD057E7AD18}" uniqueName="12" name="Yes" queryTableFieldId="12"/>
    <tableColumn id="13" xr3:uid="{2A2EF3A3-45DF-4A69-84B7-449311259194}" uniqueName="13" name="Waiting Category"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0"/>
  <sheetViews>
    <sheetView workbookViewId="0">
      <selection sqref="A1:L80"/>
    </sheetView>
  </sheetViews>
  <sheetFormatPr defaultRowHeight="15"/>
  <cols>
    <col min="1" max="1" width="13" customWidth="1"/>
    <col min="2" max="2" width="36" customWidth="1"/>
    <col min="3" max="3" width="12.28515625" customWidth="1"/>
    <col min="4" max="4" width="16.85546875" customWidth="1"/>
    <col min="5" max="6" width="13.42578125" customWidth="1"/>
    <col min="8" max="8" width="11.7109375" bestFit="1" customWidth="1"/>
    <col min="9" max="9" width="10.28515625" bestFit="1" customWidth="1"/>
    <col min="10" max="10" width="22.7109375" customWidth="1"/>
    <col min="11" max="11" width="6.7109375" customWidth="1"/>
    <col min="12" max="12" width="7" customWidth="1"/>
  </cols>
  <sheetData>
    <row r="1" spans="1:12">
      <c r="A1" s="9" t="s">
        <v>0</v>
      </c>
      <c r="B1" s="10" t="s">
        <v>1</v>
      </c>
      <c r="C1" s="9" t="s">
        <v>2</v>
      </c>
      <c r="D1" s="10" t="s">
        <v>3</v>
      </c>
      <c r="E1" s="11" t="s">
        <v>131</v>
      </c>
      <c r="F1" s="11" t="s">
        <v>132</v>
      </c>
      <c r="G1" s="12" t="s">
        <v>133</v>
      </c>
      <c r="H1" s="9" t="s">
        <v>4</v>
      </c>
      <c r="I1" s="9" t="s">
        <v>5</v>
      </c>
      <c r="J1" s="10" t="s">
        <v>6</v>
      </c>
      <c r="K1" s="9" t="s">
        <v>7</v>
      </c>
      <c r="L1" s="9" t="s">
        <v>8</v>
      </c>
    </row>
    <row r="2" spans="1:12">
      <c r="A2" s="6" t="s">
        <v>9</v>
      </c>
      <c r="B2" s="5" t="s">
        <v>1</v>
      </c>
      <c r="C2" s="6" t="s">
        <v>2</v>
      </c>
      <c r="D2" s="5" t="s">
        <v>10</v>
      </c>
      <c r="E2" s="7">
        <v>45358</v>
      </c>
      <c r="F2" s="7">
        <v>45488</v>
      </c>
      <c r="G2" s="8">
        <v>130</v>
      </c>
      <c r="H2" s="6" t="s">
        <v>11</v>
      </c>
      <c r="I2" s="6" t="s">
        <v>12</v>
      </c>
      <c r="J2" s="5" t="s">
        <v>13</v>
      </c>
      <c r="K2" s="6" t="s">
        <v>14</v>
      </c>
      <c r="L2" s="6" t="s">
        <v>8</v>
      </c>
    </row>
    <row r="3" spans="1:12">
      <c r="A3" s="2" t="s">
        <v>15</v>
      </c>
      <c r="B3" s="1" t="s">
        <v>16</v>
      </c>
      <c r="C3" s="2" t="s">
        <v>2</v>
      </c>
      <c r="D3" s="1" t="s">
        <v>10</v>
      </c>
      <c r="E3" s="3">
        <v>45470</v>
      </c>
      <c r="F3" s="3">
        <v>45583</v>
      </c>
      <c r="G3" s="4">
        <v>113</v>
      </c>
      <c r="H3" s="2" t="s">
        <v>11</v>
      </c>
      <c r="I3" s="2" t="s">
        <v>5</v>
      </c>
      <c r="J3" s="1" t="s">
        <v>6</v>
      </c>
      <c r="K3" s="2" t="s">
        <v>14</v>
      </c>
      <c r="L3" s="2" t="s">
        <v>17</v>
      </c>
    </row>
    <row r="4" spans="1:12">
      <c r="A4" s="6" t="s">
        <v>18</v>
      </c>
      <c r="B4" s="5" t="s">
        <v>19</v>
      </c>
      <c r="C4" s="6" t="s">
        <v>20</v>
      </c>
      <c r="D4" s="5" t="s">
        <v>21</v>
      </c>
      <c r="E4" s="7">
        <v>45322</v>
      </c>
      <c r="F4" s="7">
        <v>45476</v>
      </c>
      <c r="G4" s="8">
        <v>154</v>
      </c>
      <c r="H4" s="6" t="s">
        <v>11</v>
      </c>
      <c r="I4" s="6" t="s">
        <v>5</v>
      </c>
      <c r="J4" s="5" t="s">
        <v>22</v>
      </c>
      <c r="K4" s="6" t="s">
        <v>7</v>
      </c>
      <c r="L4" s="6" t="s">
        <v>8</v>
      </c>
    </row>
    <row r="5" spans="1:12">
      <c r="A5" s="2" t="s">
        <v>23</v>
      </c>
      <c r="B5" s="1" t="s">
        <v>24</v>
      </c>
      <c r="C5" s="2" t="s">
        <v>20</v>
      </c>
      <c r="D5" s="1" t="s">
        <v>25</v>
      </c>
      <c r="E5" s="3">
        <v>45372</v>
      </c>
      <c r="F5" s="3">
        <v>45520</v>
      </c>
      <c r="G5" s="4">
        <v>148</v>
      </c>
      <c r="H5" s="2" t="s">
        <v>11</v>
      </c>
      <c r="I5" s="2" t="s">
        <v>5</v>
      </c>
      <c r="J5" s="1" t="s">
        <v>26</v>
      </c>
      <c r="K5" s="2" t="s">
        <v>27</v>
      </c>
      <c r="L5" s="2" t="s">
        <v>17</v>
      </c>
    </row>
    <row r="6" spans="1:12">
      <c r="A6" s="6" t="s">
        <v>28</v>
      </c>
      <c r="B6" s="5" t="s">
        <v>29</v>
      </c>
      <c r="C6" s="6" t="s">
        <v>20</v>
      </c>
      <c r="D6" s="5" t="s">
        <v>30</v>
      </c>
      <c r="E6" s="7">
        <v>45405</v>
      </c>
      <c r="F6" s="7">
        <v>45472</v>
      </c>
      <c r="G6" s="8">
        <v>67</v>
      </c>
      <c r="H6" s="6" t="s">
        <v>4</v>
      </c>
      <c r="I6" s="6" t="s">
        <v>5</v>
      </c>
      <c r="J6" s="5" t="s">
        <v>31</v>
      </c>
      <c r="K6" s="6" t="s">
        <v>32</v>
      </c>
      <c r="L6" s="6" t="s">
        <v>8</v>
      </c>
    </row>
    <row r="7" spans="1:12">
      <c r="A7" s="2" t="s">
        <v>33</v>
      </c>
      <c r="B7" s="1" t="s">
        <v>34</v>
      </c>
      <c r="C7" s="2" t="s">
        <v>35</v>
      </c>
      <c r="D7" s="1" t="s">
        <v>3</v>
      </c>
      <c r="E7" s="3">
        <v>45453</v>
      </c>
      <c r="F7" s="3">
        <v>45592</v>
      </c>
      <c r="G7" s="4">
        <v>139</v>
      </c>
      <c r="H7" s="2" t="s">
        <v>11</v>
      </c>
      <c r="I7" s="2" t="s">
        <v>5</v>
      </c>
      <c r="J7" s="1" t="s">
        <v>36</v>
      </c>
      <c r="K7" s="2" t="s">
        <v>27</v>
      </c>
      <c r="L7" s="2" t="s">
        <v>8</v>
      </c>
    </row>
    <row r="8" spans="1:12">
      <c r="A8" s="6" t="s">
        <v>37</v>
      </c>
      <c r="B8" s="5" t="s">
        <v>29</v>
      </c>
      <c r="C8" s="6" t="s">
        <v>20</v>
      </c>
      <c r="D8" s="5" t="s">
        <v>10</v>
      </c>
      <c r="E8" s="7">
        <v>45425</v>
      </c>
      <c r="F8" s="7">
        <v>45569</v>
      </c>
      <c r="G8" s="8">
        <v>144</v>
      </c>
      <c r="H8" s="6" t="s">
        <v>11</v>
      </c>
      <c r="I8" s="6" t="s">
        <v>12</v>
      </c>
      <c r="J8" s="5" t="s">
        <v>38</v>
      </c>
      <c r="K8" s="6" t="s">
        <v>7</v>
      </c>
      <c r="L8" s="6" t="s">
        <v>8</v>
      </c>
    </row>
    <row r="9" spans="1:12">
      <c r="A9" s="2" t="s">
        <v>39</v>
      </c>
      <c r="B9" s="1" t="s">
        <v>29</v>
      </c>
      <c r="C9" s="2" t="s">
        <v>20</v>
      </c>
      <c r="D9" s="1" t="s">
        <v>10</v>
      </c>
      <c r="E9" s="3">
        <v>45309</v>
      </c>
      <c r="F9" s="3">
        <v>45415</v>
      </c>
      <c r="G9" s="4">
        <v>106</v>
      </c>
      <c r="H9" s="2" t="s">
        <v>11</v>
      </c>
      <c r="I9" s="2" t="s">
        <v>5</v>
      </c>
      <c r="J9" s="1" t="s">
        <v>40</v>
      </c>
      <c r="K9" s="2" t="s">
        <v>32</v>
      </c>
      <c r="L9" s="2" t="s">
        <v>8</v>
      </c>
    </row>
    <row r="10" spans="1:12">
      <c r="A10" s="6" t="s">
        <v>41</v>
      </c>
      <c r="B10" s="5" t="s">
        <v>34</v>
      </c>
      <c r="C10" s="6" t="s">
        <v>35</v>
      </c>
      <c r="D10" s="5" t="s">
        <v>21</v>
      </c>
      <c r="E10" s="7">
        <v>45453</v>
      </c>
      <c r="F10" s="7">
        <v>45495</v>
      </c>
      <c r="G10" s="8">
        <v>42</v>
      </c>
      <c r="H10" s="6" t="s">
        <v>4</v>
      </c>
      <c r="I10" s="6" t="s">
        <v>5</v>
      </c>
      <c r="J10" s="5" t="s">
        <v>42</v>
      </c>
      <c r="K10" s="6" t="s">
        <v>14</v>
      </c>
      <c r="L10" s="6" t="s">
        <v>17</v>
      </c>
    </row>
    <row r="11" spans="1:12">
      <c r="A11" s="2" t="s">
        <v>43</v>
      </c>
      <c r="B11" s="1" t="s">
        <v>16</v>
      </c>
      <c r="C11" s="2" t="s">
        <v>2</v>
      </c>
      <c r="D11" s="1" t="s">
        <v>44</v>
      </c>
      <c r="E11" s="3">
        <v>45432</v>
      </c>
      <c r="F11" s="3">
        <v>45512</v>
      </c>
      <c r="G11" s="4">
        <v>80</v>
      </c>
      <c r="H11" s="2" t="s">
        <v>4</v>
      </c>
      <c r="I11" s="2" t="s">
        <v>45</v>
      </c>
      <c r="J11" s="1" t="s">
        <v>46</v>
      </c>
      <c r="K11" s="2" t="s">
        <v>47</v>
      </c>
      <c r="L11" s="2" t="s">
        <v>8</v>
      </c>
    </row>
    <row r="12" spans="1:12">
      <c r="A12" s="6" t="s">
        <v>48</v>
      </c>
      <c r="B12" s="5" t="s">
        <v>34</v>
      </c>
      <c r="C12" s="6" t="s">
        <v>35</v>
      </c>
      <c r="D12" s="5" t="s">
        <v>44</v>
      </c>
      <c r="E12" s="7">
        <v>45405</v>
      </c>
      <c r="F12" s="7">
        <v>45568</v>
      </c>
      <c r="G12" s="8">
        <v>163</v>
      </c>
      <c r="H12" s="6" t="s">
        <v>11</v>
      </c>
      <c r="I12" s="6" t="s">
        <v>5</v>
      </c>
      <c r="J12" s="5" t="s">
        <v>49</v>
      </c>
      <c r="K12" s="6" t="s">
        <v>14</v>
      </c>
      <c r="L12" s="6" t="s">
        <v>8</v>
      </c>
    </row>
    <row r="13" spans="1:12">
      <c r="A13" s="2" t="s">
        <v>50</v>
      </c>
      <c r="B13" s="1" t="s">
        <v>16</v>
      </c>
      <c r="C13" s="2" t="s">
        <v>2</v>
      </c>
      <c r="D13" s="1" t="s">
        <v>25</v>
      </c>
      <c r="E13" s="3">
        <v>45404</v>
      </c>
      <c r="F13" s="3">
        <v>45582</v>
      </c>
      <c r="G13" s="4">
        <v>178</v>
      </c>
      <c r="H13" s="2" t="s">
        <v>11</v>
      </c>
      <c r="I13" s="2" t="s">
        <v>12</v>
      </c>
      <c r="J13" s="1" t="s">
        <v>46</v>
      </c>
      <c r="K13" s="2" t="s">
        <v>27</v>
      </c>
      <c r="L13" s="2" t="s">
        <v>8</v>
      </c>
    </row>
    <row r="14" spans="1:12">
      <c r="A14" s="6" t="s">
        <v>51</v>
      </c>
      <c r="B14" s="5" t="s">
        <v>24</v>
      </c>
      <c r="C14" s="6" t="s">
        <v>20</v>
      </c>
      <c r="D14" s="5" t="s">
        <v>30</v>
      </c>
      <c r="E14" s="7">
        <v>45423</v>
      </c>
      <c r="F14" s="7">
        <v>45600</v>
      </c>
      <c r="G14" s="8">
        <v>177</v>
      </c>
      <c r="H14" s="6" t="s">
        <v>11</v>
      </c>
      <c r="I14" s="6" t="s">
        <v>5</v>
      </c>
      <c r="J14" s="5" t="s">
        <v>52</v>
      </c>
      <c r="K14" s="6" t="s">
        <v>14</v>
      </c>
      <c r="L14" s="6" t="s">
        <v>8</v>
      </c>
    </row>
    <row r="15" spans="1:12">
      <c r="A15" s="2" t="s">
        <v>53</v>
      </c>
      <c r="B15" s="1" t="s">
        <v>54</v>
      </c>
      <c r="C15" s="2" t="s">
        <v>55</v>
      </c>
      <c r="D15" s="1" t="s">
        <v>44</v>
      </c>
      <c r="E15" s="3">
        <v>45412</v>
      </c>
      <c r="F15" s="3">
        <v>45494</v>
      </c>
      <c r="G15" s="4">
        <v>82</v>
      </c>
      <c r="H15" s="2" t="s">
        <v>4</v>
      </c>
      <c r="I15" s="2" t="s">
        <v>5</v>
      </c>
      <c r="J15" s="1" t="s">
        <v>6</v>
      </c>
      <c r="K15" s="2" t="s">
        <v>14</v>
      </c>
      <c r="L15" s="2" t="s">
        <v>8</v>
      </c>
    </row>
    <row r="16" spans="1:12">
      <c r="A16" s="6" t="s">
        <v>56</v>
      </c>
      <c r="B16" s="5" t="s">
        <v>34</v>
      </c>
      <c r="C16" s="6" t="s">
        <v>35</v>
      </c>
      <c r="D16" s="5" t="s">
        <v>10</v>
      </c>
      <c r="E16" s="7">
        <v>45473</v>
      </c>
      <c r="F16" s="7">
        <v>45589</v>
      </c>
      <c r="G16" s="8">
        <v>116</v>
      </c>
      <c r="H16" s="6" t="s">
        <v>11</v>
      </c>
      <c r="I16" s="6" t="s">
        <v>5</v>
      </c>
      <c r="J16" s="5" t="s">
        <v>57</v>
      </c>
      <c r="K16" s="6" t="s">
        <v>14</v>
      </c>
      <c r="L16" s="6" t="s">
        <v>8</v>
      </c>
    </row>
    <row r="17" spans="1:12">
      <c r="A17" s="2" t="s">
        <v>58</v>
      </c>
      <c r="B17" s="1" t="s">
        <v>29</v>
      </c>
      <c r="C17" s="2" t="s">
        <v>20</v>
      </c>
      <c r="D17" s="1" t="s">
        <v>3</v>
      </c>
      <c r="E17" s="3">
        <v>45431</v>
      </c>
      <c r="F17" s="3">
        <v>45560</v>
      </c>
      <c r="G17" s="4">
        <v>129</v>
      </c>
      <c r="H17" s="2" t="s">
        <v>11</v>
      </c>
      <c r="I17" s="2" t="s">
        <v>5</v>
      </c>
      <c r="J17" s="1" t="s">
        <v>26</v>
      </c>
      <c r="K17" s="2" t="s">
        <v>7</v>
      </c>
      <c r="L17" s="2" t="s">
        <v>8</v>
      </c>
    </row>
    <row r="18" spans="1:12">
      <c r="A18" s="6" t="s">
        <v>59</v>
      </c>
      <c r="B18" s="5" t="s">
        <v>54</v>
      </c>
      <c r="C18" s="6" t="s">
        <v>55</v>
      </c>
      <c r="D18" s="5" t="s">
        <v>3</v>
      </c>
      <c r="E18" s="7">
        <v>45469</v>
      </c>
      <c r="F18" s="7">
        <v>45591</v>
      </c>
      <c r="G18" s="8">
        <v>122</v>
      </c>
      <c r="H18" s="6" t="s">
        <v>11</v>
      </c>
      <c r="I18" s="6" t="s">
        <v>5</v>
      </c>
      <c r="J18" s="5" t="s">
        <v>60</v>
      </c>
      <c r="K18" s="6" t="s">
        <v>27</v>
      </c>
      <c r="L18" s="6" t="s">
        <v>8</v>
      </c>
    </row>
    <row r="19" spans="1:12">
      <c r="A19" s="2" t="s">
        <v>61</v>
      </c>
      <c r="B19" s="1" t="s">
        <v>24</v>
      </c>
      <c r="C19" s="2" t="s">
        <v>20</v>
      </c>
      <c r="D19" s="1" t="s">
        <v>10</v>
      </c>
      <c r="E19" s="3">
        <v>45399</v>
      </c>
      <c r="F19" s="3">
        <v>45506</v>
      </c>
      <c r="G19" s="4">
        <v>107</v>
      </c>
      <c r="H19" s="2" t="s">
        <v>11</v>
      </c>
      <c r="I19" s="2" t="s">
        <v>12</v>
      </c>
      <c r="J19" s="1" t="s">
        <v>62</v>
      </c>
      <c r="K19" s="2" t="s">
        <v>47</v>
      </c>
      <c r="L19" s="2" t="s">
        <v>8</v>
      </c>
    </row>
    <row r="20" spans="1:12">
      <c r="A20" s="6" t="s">
        <v>63</v>
      </c>
      <c r="B20" s="5" t="s">
        <v>64</v>
      </c>
      <c r="C20" s="6" t="s">
        <v>20</v>
      </c>
      <c r="D20" s="5" t="s">
        <v>10</v>
      </c>
      <c r="E20" s="7">
        <v>45335</v>
      </c>
      <c r="F20" s="7">
        <v>45509</v>
      </c>
      <c r="G20" s="8">
        <v>174</v>
      </c>
      <c r="H20" s="6" t="s">
        <v>11</v>
      </c>
      <c r="I20" s="6" t="s">
        <v>5</v>
      </c>
      <c r="J20" s="5" t="s">
        <v>42</v>
      </c>
      <c r="K20" s="6" t="s">
        <v>14</v>
      </c>
      <c r="L20" s="6" t="s">
        <v>8</v>
      </c>
    </row>
    <row r="21" spans="1:12">
      <c r="A21" s="2" t="s">
        <v>65</v>
      </c>
      <c r="B21" s="1" t="s">
        <v>19</v>
      </c>
      <c r="C21" s="2" t="s">
        <v>20</v>
      </c>
      <c r="D21" s="1" t="s">
        <v>25</v>
      </c>
      <c r="E21" s="3">
        <v>45451</v>
      </c>
      <c r="F21" s="3">
        <v>45629</v>
      </c>
      <c r="G21" s="4">
        <v>178</v>
      </c>
      <c r="H21" s="2" t="s">
        <v>11</v>
      </c>
      <c r="I21" s="2" t="s">
        <v>5</v>
      </c>
      <c r="J21" s="1" t="s">
        <v>22</v>
      </c>
      <c r="K21" s="2" t="s">
        <v>47</v>
      </c>
      <c r="L21" s="2" t="s">
        <v>17</v>
      </c>
    </row>
    <row r="22" spans="1:12">
      <c r="A22" s="6" t="s">
        <v>66</v>
      </c>
      <c r="B22" s="5" t="s">
        <v>16</v>
      </c>
      <c r="C22" s="6" t="s">
        <v>2</v>
      </c>
      <c r="D22" s="5" t="s">
        <v>30</v>
      </c>
      <c r="E22" s="7">
        <v>45392</v>
      </c>
      <c r="F22" s="7">
        <v>45511</v>
      </c>
      <c r="G22" s="8">
        <v>119</v>
      </c>
      <c r="H22" s="6" t="s">
        <v>11</v>
      </c>
      <c r="I22" s="6" t="s">
        <v>5</v>
      </c>
      <c r="J22" s="5" t="s">
        <v>26</v>
      </c>
      <c r="K22" s="6" t="s">
        <v>32</v>
      </c>
      <c r="L22" s="6" t="s">
        <v>17</v>
      </c>
    </row>
    <row r="23" spans="1:12">
      <c r="A23" s="2" t="s">
        <v>67</v>
      </c>
      <c r="B23" s="1" t="s">
        <v>19</v>
      </c>
      <c r="C23" s="2" t="s">
        <v>20</v>
      </c>
      <c r="D23" s="1" t="s">
        <v>25</v>
      </c>
      <c r="E23" s="3">
        <v>45361</v>
      </c>
      <c r="F23" s="3">
        <v>45393</v>
      </c>
      <c r="G23" s="4">
        <v>32</v>
      </c>
      <c r="H23" s="2" t="s">
        <v>68</v>
      </c>
      <c r="I23" s="2" t="s">
        <v>5</v>
      </c>
      <c r="J23" s="1" t="s">
        <v>69</v>
      </c>
      <c r="K23" s="2" t="s">
        <v>14</v>
      </c>
      <c r="L23" s="2" t="s">
        <v>17</v>
      </c>
    </row>
    <row r="24" spans="1:12">
      <c r="A24" s="6" t="s">
        <v>70</v>
      </c>
      <c r="B24" s="5" t="s">
        <v>34</v>
      </c>
      <c r="C24" s="6" t="s">
        <v>35</v>
      </c>
      <c r="D24" s="5" t="s">
        <v>44</v>
      </c>
      <c r="E24" s="7">
        <v>45340</v>
      </c>
      <c r="F24" s="7">
        <v>45443</v>
      </c>
      <c r="G24" s="8">
        <v>103</v>
      </c>
      <c r="H24" s="6" t="s">
        <v>11</v>
      </c>
      <c r="I24" s="6" t="s">
        <v>12</v>
      </c>
      <c r="J24" s="5" t="s">
        <v>31</v>
      </c>
      <c r="K24" s="6" t="s">
        <v>27</v>
      </c>
      <c r="L24" s="6" t="s">
        <v>8</v>
      </c>
    </row>
    <row r="25" spans="1:12">
      <c r="A25" s="2" t="s">
        <v>71</v>
      </c>
      <c r="B25" s="1" t="s">
        <v>16</v>
      </c>
      <c r="C25" s="2" t="s">
        <v>2</v>
      </c>
      <c r="D25" s="1" t="s">
        <v>21</v>
      </c>
      <c r="E25" s="3">
        <v>45468</v>
      </c>
      <c r="F25" s="3">
        <v>45536</v>
      </c>
      <c r="G25" s="4">
        <v>68</v>
      </c>
      <c r="H25" s="2" t="s">
        <v>4</v>
      </c>
      <c r="I25" s="2" t="s">
        <v>5</v>
      </c>
      <c r="J25" s="1" t="s">
        <v>72</v>
      </c>
      <c r="K25" s="2" t="s">
        <v>32</v>
      </c>
      <c r="L25" s="2" t="s">
        <v>8</v>
      </c>
    </row>
    <row r="26" spans="1:12">
      <c r="A26" s="6" t="s">
        <v>73</v>
      </c>
      <c r="B26" s="5" t="s">
        <v>19</v>
      </c>
      <c r="C26" s="6" t="s">
        <v>20</v>
      </c>
      <c r="D26" s="5" t="s">
        <v>25</v>
      </c>
      <c r="E26" s="7">
        <v>45432</v>
      </c>
      <c r="F26" s="7">
        <v>45485</v>
      </c>
      <c r="G26" s="8">
        <v>53</v>
      </c>
      <c r="H26" s="6" t="s">
        <v>4</v>
      </c>
      <c r="I26" s="6" t="s">
        <v>45</v>
      </c>
      <c r="J26" s="5" t="s">
        <v>49</v>
      </c>
      <c r="K26" s="6" t="s">
        <v>47</v>
      </c>
      <c r="L26" s="6" t="s">
        <v>17</v>
      </c>
    </row>
    <row r="27" spans="1:12">
      <c r="A27" s="2" t="s">
        <v>74</v>
      </c>
      <c r="B27" s="1" t="s">
        <v>16</v>
      </c>
      <c r="C27" s="2" t="s">
        <v>2</v>
      </c>
      <c r="D27" s="1" t="s">
        <v>30</v>
      </c>
      <c r="E27" s="3">
        <v>45379</v>
      </c>
      <c r="F27" s="3">
        <v>45397</v>
      </c>
      <c r="G27" s="4">
        <v>18</v>
      </c>
      <c r="H27" s="2" t="s">
        <v>68</v>
      </c>
      <c r="I27" s="2" t="s">
        <v>45</v>
      </c>
      <c r="J27" s="1" t="s">
        <v>75</v>
      </c>
      <c r="K27" s="2" t="s">
        <v>47</v>
      </c>
      <c r="L27" s="2" t="s">
        <v>17</v>
      </c>
    </row>
    <row r="28" spans="1:12">
      <c r="A28" s="6" t="s">
        <v>76</v>
      </c>
      <c r="B28" s="5" t="s">
        <v>29</v>
      </c>
      <c r="C28" s="6" t="s">
        <v>20</v>
      </c>
      <c r="D28" s="5" t="s">
        <v>21</v>
      </c>
      <c r="E28" s="7">
        <v>45376</v>
      </c>
      <c r="F28" s="7">
        <v>45483</v>
      </c>
      <c r="G28" s="8">
        <v>107</v>
      </c>
      <c r="H28" s="6" t="s">
        <v>11</v>
      </c>
      <c r="I28" s="6" t="s">
        <v>5</v>
      </c>
      <c r="J28" s="5" t="s">
        <v>13</v>
      </c>
      <c r="K28" s="6" t="s">
        <v>7</v>
      </c>
      <c r="L28" s="6" t="s">
        <v>8</v>
      </c>
    </row>
    <row r="29" spans="1:12">
      <c r="A29" s="2" t="s">
        <v>77</v>
      </c>
      <c r="B29" s="1" t="s">
        <v>54</v>
      </c>
      <c r="C29" s="2" t="s">
        <v>55</v>
      </c>
      <c r="D29" s="1" t="s">
        <v>21</v>
      </c>
      <c r="E29" s="3">
        <v>45472</v>
      </c>
      <c r="F29" s="3">
        <v>45507</v>
      </c>
      <c r="G29" s="4">
        <v>35</v>
      </c>
      <c r="H29" s="2" t="s">
        <v>68</v>
      </c>
      <c r="I29" s="2" t="s">
        <v>12</v>
      </c>
      <c r="J29" s="1" t="s">
        <v>26</v>
      </c>
      <c r="K29" s="2" t="s">
        <v>32</v>
      </c>
      <c r="L29" s="2" t="s">
        <v>8</v>
      </c>
    </row>
    <row r="30" spans="1:12">
      <c r="A30" s="6" t="s">
        <v>78</v>
      </c>
      <c r="B30" s="5" t="s">
        <v>16</v>
      </c>
      <c r="C30" s="6" t="s">
        <v>2</v>
      </c>
      <c r="D30" s="5" t="s">
        <v>3</v>
      </c>
      <c r="E30" s="7">
        <v>45433</v>
      </c>
      <c r="F30" s="7">
        <v>45585</v>
      </c>
      <c r="G30" s="8">
        <v>152</v>
      </c>
      <c r="H30" s="6" t="s">
        <v>11</v>
      </c>
      <c r="I30" s="6" t="s">
        <v>5</v>
      </c>
      <c r="J30" s="5" t="s">
        <v>79</v>
      </c>
      <c r="K30" s="6" t="s">
        <v>27</v>
      </c>
      <c r="L30" s="6" t="s">
        <v>8</v>
      </c>
    </row>
    <row r="31" spans="1:12">
      <c r="A31" s="2" t="s">
        <v>80</v>
      </c>
      <c r="B31" s="1" t="s">
        <v>19</v>
      </c>
      <c r="C31" s="2" t="s">
        <v>20</v>
      </c>
      <c r="D31" s="1" t="s">
        <v>30</v>
      </c>
      <c r="E31" s="3">
        <v>45345</v>
      </c>
      <c r="F31" s="3">
        <v>45449</v>
      </c>
      <c r="G31" s="4">
        <v>104</v>
      </c>
      <c r="H31" s="2" t="s">
        <v>11</v>
      </c>
      <c r="I31" s="2" t="s">
        <v>5</v>
      </c>
      <c r="J31" s="1" t="s">
        <v>81</v>
      </c>
      <c r="K31" s="2" t="s">
        <v>47</v>
      </c>
      <c r="L31" s="2" t="s">
        <v>8</v>
      </c>
    </row>
    <row r="32" spans="1:12">
      <c r="A32" s="6" t="s">
        <v>82</v>
      </c>
      <c r="B32" s="5" t="s">
        <v>64</v>
      </c>
      <c r="C32" s="6" t="s">
        <v>20</v>
      </c>
      <c r="D32" s="5" t="s">
        <v>21</v>
      </c>
      <c r="E32" s="7">
        <v>45326</v>
      </c>
      <c r="F32" s="7">
        <v>45464</v>
      </c>
      <c r="G32" s="8">
        <v>138</v>
      </c>
      <c r="H32" s="6" t="s">
        <v>11</v>
      </c>
      <c r="I32" s="6" t="s">
        <v>12</v>
      </c>
      <c r="J32" s="5" t="s">
        <v>31</v>
      </c>
      <c r="K32" s="6" t="s">
        <v>14</v>
      </c>
      <c r="L32" s="6" t="s">
        <v>8</v>
      </c>
    </row>
    <row r="33" spans="1:12">
      <c r="A33" s="2" t="s">
        <v>83</v>
      </c>
      <c r="B33" s="1" t="s">
        <v>19</v>
      </c>
      <c r="C33" s="2" t="s">
        <v>20</v>
      </c>
      <c r="D33" s="1" t="s">
        <v>25</v>
      </c>
      <c r="E33" s="3">
        <v>45473</v>
      </c>
      <c r="F33" s="3">
        <v>45640</v>
      </c>
      <c r="G33" s="4">
        <v>167</v>
      </c>
      <c r="H33" s="2" t="s">
        <v>11</v>
      </c>
      <c r="I33" s="2" t="s">
        <v>5</v>
      </c>
      <c r="J33" s="1" t="s">
        <v>36</v>
      </c>
      <c r="K33" s="2" t="s">
        <v>7</v>
      </c>
      <c r="L33" s="2" t="s">
        <v>8</v>
      </c>
    </row>
    <row r="34" spans="1:12">
      <c r="A34" s="6" t="s">
        <v>84</v>
      </c>
      <c r="B34" s="5" t="s">
        <v>34</v>
      </c>
      <c r="C34" s="6" t="s">
        <v>35</v>
      </c>
      <c r="D34" s="5" t="s">
        <v>25</v>
      </c>
      <c r="E34" s="7">
        <v>45394</v>
      </c>
      <c r="F34" s="7">
        <v>45506</v>
      </c>
      <c r="G34" s="8">
        <v>112</v>
      </c>
      <c r="H34" s="6" t="s">
        <v>11</v>
      </c>
      <c r="I34" s="6" t="s">
        <v>5</v>
      </c>
      <c r="J34" s="5" t="s">
        <v>49</v>
      </c>
      <c r="K34" s="6" t="s">
        <v>14</v>
      </c>
      <c r="L34" s="6" t="s">
        <v>8</v>
      </c>
    </row>
    <row r="35" spans="1:12">
      <c r="A35" s="2" t="s">
        <v>85</v>
      </c>
      <c r="B35" s="1" t="s">
        <v>29</v>
      </c>
      <c r="C35" s="2" t="s">
        <v>20</v>
      </c>
      <c r="D35" s="1" t="s">
        <v>3</v>
      </c>
      <c r="E35" s="3">
        <v>45384</v>
      </c>
      <c r="F35" s="3">
        <v>45505</v>
      </c>
      <c r="G35" s="4">
        <v>121</v>
      </c>
      <c r="H35" s="2" t="s">
        <v>11</v>
      </c>
      <c r="I35" s="2" t="s">
        <v>5</v>
      </c>
      <c r="J35" s="1" t="s">
        <v>72</v>
      </c>
      <c r="K35" s="2" t="s">
        <v>14</v>
      </c>
      <c r="L35" s="2" t="s">
        <v>8</v>
      </c>
    </row>
    <row r="36" spans="1:12">
      <c r="A36" s="6" t="s">
        <v>86</v>
      </c>
      <c r="B36" s="5" t="s">
        <v>16</v>
      </c>
      <c r="C36" s="6" t="s">
        <v>2</v>
      </c>
      <c r="D36" s="5" t="s">
        <v>3</v>
      </c>
      <c r="E36" s="7">
        <v>45411</v>
      </c>
      <c r="F36" s="7">
        <v>45425</v>
      </c>
      <c r="G36" s="8">
        <v>14</v>
      </c>
      <c r="H36" s="6" t="s">
        <v>68</v>
      </c>
      <c r="I36" s="6" t="s">
        <v>5</v>
      </c>
      <c r="J36" s="5" t="s">
        <v>26</v>
      </c>
      <c r="K36" s="6" t="s">
        <v>27</v>
      </c>
      <c r="L36" s="6" t="s">
        <v>8</v>
      </c>
    </row>
    <row r="37" spans="1:12">
      <c r="A37" s="2" t="s">
        <v>87</v>
      </c>
      <c r="B37" s="1" t="s">
        <v>29</v>
      </c>
      <c r="C37" s="2" t="s">
        <v>20</v>
      </c>
      <c r="D37" s="1" t="s">
        <v>30</v>
      </c>
      <c r="E37" s="3">
        <v>45385</v>
      </c>
      <c r="F37" s="3">
        <v>45452</v>
      </c>
      <c r="G37" s="4">
        <v>67</v>
      </c>
      <c r="H37" s="2" t="s">
        <v>4</v>
      </c>
      <c r="I37" s="2" t="s">
        <v>5</v>
      </c>
      <c r="J37" s="1" t="s">
        <v>60</v>
      </c>
      <c r="K37" s="2" t="s">
        <v>7</v>
      </c>
      <c r="L37" s="2" t="s">
        <v>8</v>
      </c>
    </row>
    <row r="38" spans="1:12">
      <c r="A38" s="6" t="s">
        <v>88</v>
      </c>
      <c r="B38" s="5" t="s">
        <v>16</v>
      </c>
      <c r="C38" s="6" t="s">
        <v>2</v>
      </c>
      <c r="D38" s="5" t="s">
        <v>10</v>
      </c>
      <c r="E38" s="7">
        <v>45466</v>
      </c>
      <c r="F38" s="7">
        <v>45603</v>
      </c>
      <c r="G38" s="8">
        <v>137</v>
      </c>
      <c r="H38" s="6" t="s">
        <v>11</v>
      </c>
      <c r="I38" s="6" t="s">
        <v>5</v>
      </c>
      <c r="J38" s="5" t="s">
        <v>62</v>
      </c>
      <c r="K38" s="6" t="s">
        <v>14</v>
      </c>
      <c r="L38" s="6" t="s">
        <v>8</v>
      </c>
    </row>
    <row r="39" spans="1:12">
      <c r="A39" s="2" t="s">
        <v>89</v>
      </c>
      <c r="B39" s="1" t="s">
        <v>1</v>
      </c>
      <c r="C39" s="2" t="s">
        <v>2</v>
      </c>
      <c r="D39" s="1" t="s">
        <v>3</v>
      </c>
      <c r="E39" s="3">
        <v>45404</v>
      </c>
      <c r="F39" s="3">
        <v>45529</v>
      </c>
      <c r="G39" s="4">
        <v>125</v>
      </c>
      <c r="H39" s="2" t="s">
        <v>11</v>
      </c>
      <c r="I39" s="2" t="s">
        <v>12</v>
      </c>
      <c r="J39" s="1" t="s">
        <v>72</v>
      </c>
      <c r="K39" s="2" t="s">
        <v>27</v>
      </c>
      <c r="L39" s="2" t="s">
        <v>8</v>
      </c>
    </row>
    <row r="40" spans="1:12">
      <c r="A40" s="6" t="s">
        <v>90</v>
      </c>
      <c r="B40" s="5" t="s">
        <v>1</v>
      </c>
      <c r="C40" s="6" t="s">
        <v>2</v>
      </c>
      <c r="D40" s="5" t="s">
        <v>30</v>
      </c>
      <c r="E40" s="7">
        <v>45335</v>
      </c>
      <c r="F40" s="7">
        <v>45464</v>
      </c>
      <c r="G40" s="8">
        <v>129</v>
      </c>
      <c r="H40" s="6" t="s">
        <v>11</v>
      </c>
      <c r="I40" s="6" t="s">
        <v>5</v>
      </c>
      <c r="J40" s="5" t="s">
        <v>46</v>
      </c>
      <c r="K40" s="6" t="s">
        <v>47</v>
      </c>
      <c r="L40" s="6" t="s">
        <v>17</v>
      </c>
    </row>
    <row r="41" spans="1:12">
      <c r="A41" s="2" t="s">
        <v>91</v>
      </c>
      <c r="B41" s="1" t="s">
        <v>64</v>
      </c>
      <c r="C41" s="2" t="s">
        <v>20</v>
      </c>
      <c r="D41" s="1" t="s">
        <v>3</v>
      </c>
      <c r="E41" s="3">
        <v>45300</v>
      </c>
      <c r="F41" s="3">
        <v>45364</v>
      </c>
      <c r="G41" s="4">
        <v>64</v>
      </c>
      <c r="H41" s="2" t="s">
        <v>4</v>
      </c>
      <c r="I41" s="2" t="s">
        <v>12</v>
      </c>
      <c r="J41" s="1" t="s">
        <v>40</v>
      </c>
      <c r="K41" s="2" t="s">
        <v>7</v>
      </c>
      <c r="L41" s="2" t="s">
        <v>8</v>
      </c>
    </row>
    <row r="42" spans="1:12">
      <c r="A42" s="6" t="s">
        <v>92</v>
      </c>
      <c r="B42" s="5" t="s">
        <v>19</v>
      </c>
      <c r="C42" s="6" t="s">
        <v>20</v>
      </c>
      <c r="D42" s="5" t="s">
        <v>21</v>
      </c>
      <c r="E42" s="7">
        <v>45315</v>
      </c>
      <c r="F42" s="7">
        <v>45372</v>
      </c>
      <c r="G42" s="8">
        <v>57</v>
      </c>
      <c r="H42" s="6" t="s">
        <v>4</v>
      </c>
      <c r="I42" s="6" t="s">
        <v>5</v>
      </c>
      <c r="J42" s="5" t="s">
        <v>46</v>
      </c>
      <c r="K42" s="6" t="s">
        <v>47</v>
      </c>
      <c r="L42" s="6" t="s">
        <v>8</v>
      </c>
    </row>
    <row r="43" spans="1:12">
      <c r="A43" s="2" t="s">
        <v>93</v>
      </c>
      <c r="B43" s="1" t="s">
        <v>19</v>
      </c>
      <c r="C43" s="2" t="s">
        <v>20</v>
      </c>
      <c r="D43" s="1" t="s">
        <v>10</v>
      </c>
      <c r="E43" s="3">
        <v>45293</v>
      </c>
      <c r="F43" s="3">
        <v>45472</v>
      </c>
      <c r="G43" s="4">
        <v>179</v>
      </c>
      <c r="H43" s="2" t="s">
        <v>11</v>
      </c>
      <c r="I43" s="2" t="s">
        <v>5</v>
      </c>
      <c r="J43" s="1" t="s">
        <v>57</v>
      </c>
      <c r="K43" s="2" t="s">
        <v>7</v>
      </c>
      <c r="L43" s="2" t="s">
        <v>17</v>
      </c>
    </row>
    <row r="44" spans="1:12">
      <c r="A44" s="6" t="s">
        <v>94</v>
      </c>
      <c r="B44" s="5" t="s">
        <v>29</v>
      </c>
      <c r="C44" s="6" t="s">
        <v>20</v>
      </c>
      <c r="D44" s="5" t="s">
        <v>3</v>
      </c>
      <c r="E44" s="7">
        <v>45312</v>
      </c>
      <c r="F44" s="7">
        <v>45326</v>
      </c>
      <c r="G44" s="8">
        <v>14</v>
      </c>
      <c r="H44" s="6" t="s">
        <v>68</v>
      </c>
      <c r="I44" s="6" t="s">
        <v>5</v>
      </c>
      <c r="J44" s="5" t="s">
        <v>36</v>
      </c>
      <c r="K44" s="6" t="s">
        <v>7</v>
      </c>
      <c r="L44" s="6" t="s">
        <v>17</v>
      </c>
    </row>
    <row r="45" spans="1:12">
      <c r="A45" s="2" t="s">
        <v>95</v>
      </c>
      <c r="B45" s="1" t="s">
        <v>16</v>
      </c>
      <c r="C45" s="2" t="s">
        <v>2</v>
      </c>
      <c r="D45" s="1" t="s">
        <v>30</v>
      </c>
      <c r="E45" s="3">
        <v>45460</v>
      </c>
      <c r="F45" s="3">
        <v>45515</v>
      </c>
      <c r="G45" s="4">
        <v>55</v>
      </c>
      <c r="H45" s="2" t="s">
        <v>4</v>
      </c>
      <c r="I45" s="2" t="s">
        <v>5</v>
      </c>
      <c r="J45" s="1" t="s">
        <v>40</v>
      </c>
      <c r="K45" s="2" t="s">
        <v>32</v>
      </c>
      <c r="L45" s="2" t="s">
        <v>8</v>
      </c>
    </row>
    <row r="46" spans="1:12">
      <c r="A46" s="6" t="s">
        <v>96</v>
      </c>
      <c r="B46" s="5" t="s">
        <v>29</v>
      </c>
      <c r="C46" s="6" t="s">
        <v>20</v>
      </c>
      <c r="D46" s="5" t="s">
        <v>25</v>
      </c>
      <c r="E46" s="7">
        <v>45365</v>
      </c>
      <c r="F46" s="7">
        <v>45512</v>
      </c>
      <c r="G46" s="8">
        <v>147</v>
      </c>
      <c r="H46" s="6" t="s">
        <v>11</v>
      </c>
      <c r="I46" s="6" t="s">
        <v>5</v>
      </c>
      <c r="J46" s="5" t="s">
        <v>72</v>
      </c>
      <c r="K46" s="6" t="s">
        <v>14</v>
      </c>
      <c r="L46" s="6" t="s">
        <v>17</v>
      </c>
    </row>
    <row r="47" spans="1:12">
      <c r="A47" s="2" t="s">
        <v>97</v>
      </c>
      <c r="B47" s="1" t="s">
        <v>19</v>
      </c>
      <c r="C47" s="2" t="s">
        <v>20</v>
      </c>
      <c r="D47" s="1" t="s">
        <v>21</v>
      </c>
      <c r="E47" s="3">
        <v>45423</v>
      </c>
      <c r="F47" s="3">
        <v>45600</v>
      </c>
      <c r="G47" s="4">
        <v>177</v>
      </c>
      <c r="H47" s="2" t="s">
        <v>11</v>
      </c>
      <c r="I47" s="2" t="s">
        <v>5</v>
      </c>
      <c r="J47" s="1" t="s">
        <v>36</v>
      </c>
      <c r="K47" s="2" t="s">
        <v>7</v>
      </c>
      <c r="L47" s="2" t="s">
        <v>8</v>
      </c>
    </row>
    <row r="48" spans="1:12">
      <c r="A48" s="6" t="s">
        <v>98</v>
      </c>
      <c r="B48" s="5" t="s">
        <v>29</v>
      </c>
      <c r="C48" s="6" t="s">
        <v>20</v>
      </c>
      <c r="D48" s="5" t="s">
        <v>44</v>
      </c>
      <c r="E48" s="7">
        <v>45330</v>
      </c>
      <c r="F48" s="7">
        <v>45409</v>
      </c>
      <c r="G48" s="8">
        <v>79</v>
      </c>
      <c r="H48" s="6" t="s">
        <v>4</v>
      </c>
      <c r="I48" s="6" t="s">
        <v>12</v>
      </c>
      <c r="J48" s="5" t="s">
        <v>42</v>
      </c>
      <c r="K48" s="6" t="s">
        <v>14</v>
      </c>
      <c r="L48" s="6" t="s">
        <v>8</v>
      </c>
    </row>
    <row r="49" spans="1:12">
      <c r="A49" s="2" t="s">
        <v>99</v>
      </c>
      <c r="B49" s="1" t="s">
        <v>24</v>
      </c>
      <c r="C49" s="2" t="s">
        <v>20</v>
      </c>
      <c r="D49" s="1" t="s">
        <v>30</v>
      </c>
      <c r="E49" s="3">
        <v>45296</v>
      </c>
      <c r="F49" s="3">
        <v>45448</v>
      </c>
      <c r="G49" s="4">
        <v>152</v>
      </c>
      <c r="H49" s="2" t="s">
        <v>11</v>
      </c>
      <c r="I49" s="2" t="s">
        <v>5</v>
      </c>
      <c r="J49" s="1" t="s">
        <v>69</v>
      </c>
      <c r="K49" s="2" t="s">
        <v>47</v>
      </c>
      <c r="L49" s="2" t="s">
        <v>17</v>
      </c>
    </row>
    <row r="50" spans="1:12">
      <c r="A50" s="6" t="s">
        <v>100</v>
      </c>
      <c r="B50" s="5" t="s">
        <v>16</v>
      </c>
      <c r="C50" s="6" t="s">
        <v>2</v>
      </c>
      <c r="D50" s="5" t="s">
        <v>44</v>
      </c>
      <c r="E50" s="7">
        <v>45424</v>
      </c>
      <c r="F50" s="7">
        <v>45474</v>
      </c>
      <c r="G50" s="8">
        <v>50</v>
      </c>
      <c r="H50" s="6" t="s">
        <v>4</v>
      </c>
      <c r="I50" s="6" t="s">
        <v>5</v>
      </c>
      <c r="J50" s="5" t="s">
        <v>49</v>
      </c>
      <c r="K50" s="6" t="s">
        <v>47</v>
      </c>
      <c r="L50" s="6" t="s">
        <v>8</v>
      </c>
    </row>
    <row r="51" spans="1:12">
      <c r="A51" s="2" t="s">
        <v>101</v>
      </c>
      <c r="B51" s="1" t="s">
        <v>64</v>
      </c>
      <c r="C51" s="2" t="s">
        <v>20</v>
      </c>
      <c r="D51" s="1" t="s">
        <v>30</v>
      </c>
      <c r="E51" s="3">
        <v>45308</v>
      </c>
      <c r="F51" s="3">
        <v>45466</v>
      </c>
      <c r="G51" s="4">
        <v>158</v>
      </c>
      <c r="H51" s="2" t="s">
        <v>11</v>
      </c>
      <c r="I51" s="2" t="s">
        <v>5</v>
      </c>
      <c r="J51" s="1" t="s">
        <v>31</v>
      </c>
      <c r="K51" s="2" t="s">
        <v>32</v>
      </c>
      <c r="L51" s="2" t="s">
        <v>8</v>
      </c>
    </row>
    <row r="52" spans="1:12">
      <c r="A52" s="6" t="s">
        <v>102</v>
      </c>
      <c r="B52" s="5" t="s">
        <v>1</v>
      </c>
      <c r="C52" s="6" t="s">
        <v>2</v>
      </c>
      <c r="D52" s="5" t="s">
        <v>10</v>
      </c>
      <c r="E52" s="7">
        <v>45375</v>
      </c>
      <c r="F52" s="7">
        <v>45507</v>
      </c>
      <c r="G52" s="8">
        <v>132</v>
      </c>
      <c r="H52" s="6" t="s">
        <v>11</v>
      </c>
      <c r="I52" s="6" t="s">
        <v>5</v>
      </c>
      <c r="J52" s="5" t="s">
        <v>60</v>
      </c>
      <c r="K52" s="6" t="s">
        <v>32</v>
      </c>
      <c r="L52" s="6" t="s">
        <v>8</v>
      </c>
    </row>
    <row r="53" spans="1:12">
      <c r="A53" s="2" t="s">
        <v>103</v>
      </c>
      <c r="B53" s="1" t="s">
        <v>54</v>
      </c>
      <c r="C53" s="2" t="s">
        <v>55</v>
      </c>
      <c r="D53" s="1" t="s">
        <v>30</v>
      </c>
      <c r="E53" s="3">
        <v>45409</v>
      </c>
      <c r="F53" s="3">
        <v>45452</v>
      </c>
      <c r="G53" s="4">
        <v>43</v>
      </c>
      <c r="H53" s="2" t="s">
        <v>4</v>
      </c>
      <c r="I53" s="2" t="s">
        <v>5</v>
      </c>
      <c r="J53" s="1" t="s">
        <v>38</v>
      </c>
      <c r="K53" s="2" t="s">
        <v>14</v>
      </c>
      <c r="L53" s="2" t="s">
        <v>8</v>
      </c>
    </row>
    <row r="54" spans="1:12">
      <c r="A54" s="6" t="s">
        <v>104</v>
      </c>
      <c r="B54" s="5" t="s">
        <v>1</v>
      </c>
      <c r="C54" s="6" t="s">
        <v>2</v>
      </c>
      <c r="D54" s="5" t="s">
        <v>44</v>
      </c>
      <c r="E54" s="7">
        <v>45337</v>
      </c>
      <c r="F54" s="7">
        <v>45439</v>
      </c>
      <c r="G54" s="8">
        <v>102</v>
      </c>
      <c r="H54" s="6" t="s">
        <v>11</v>
      </c>
      <c r="I54" s="6" t="s">
        <v>5</v>
      </c>
      <c r="J54" s="5" t="s">
        <v>31</v>
      </c>
      <c r="K54" s="6" t="s">
        <v>47</v>
      </c>
      <c r="L54" s="6" t="s">
        <v>8</v>
      </c>
    </row>
    <row r="55" spans="1:12">
      <c r="A55" s="2" t="s">
        <v>105</v>
      </c>
      <c r="B55" s="1" t="s">
        <v>16</v>
      </c>
      <c r="C55" s="2" t="s">
        <v>2</v>
      </c>
      <c r="D55" s="1" t="s">
        <v>44</v>
      </c>
      <c r="E55" s="3">
        <v>45455</v>
      </c>
      <c r="F55" s="3">
        <v>45608</v>
      </c>
      <c r="G55" s="4">
        <v>153</v>
      </c>
      <c r="H55" s="2" t="s">
        <v>11</v>
      </c>
      <c r="I55" s="2" t="s">
        <v>5</v>
      </c>
      <c r="J55" s="1" t="s">
        <v>36</v>
      </c>
      <c r="K55" s="2" t="s">
        <v>27</v>
      </c>
      <c r="L55" s="2" t="s">
        <v>8</v>
      </c>
    </row>
    <row r="56" spans="1:12">
      <c r="A56" s="6" t="s">
        <v>106</v>
      </c>
      <c r="B56" s="5" t="s">
        <v>64</v>
      </c>
      <c r="C56" s="6" t="s">
        <v>20</v>
      </c>
      <c r="D56" s="5" t="s">
        <v>3</v>
      </c>
      <c r="E56" s="7">
        <v>45339</v>
      </c>
      <c r="F56" s="7">
        <v>45506</v>
      </c>
      <c r="G56" s="8">
        <v>167</v>
      </c>
      <c r="H56" s="6" t="s">
        <v>11</v>
      </c>
      <c r="I56" s="6" t="s">
        <v>45</v>
      </c>
      <c r="J56" s="5" t="s">
        <v>60</v>
      </c>
      <c r="K56" s="6" t="s">
        <v>7</v>
      </c>
      <c r="L56" s="6" t="s">
        <v>17</v>
      </c>
    </row>
    <row r="57" spans="1:12">
      <c r="A57" s="2" t="s">
        <v>107</v>
      </c>
      <c r="B57" s="1" t="s">
        <v>1</v>
      </c>
      <c r="C57" s="2" t="s">
        <v>2</v>
      </c>
      <c r="D57" s="1" t="s">
        <v>30</v>
      </c>
      <c r="E57" s="3">
        <v>45461</v>
      </c>
      <c r="F57" s="3">
        <v>45625</v>
      </c>
      <c r="G57" s="4">
        <v>164</v>
      </c>
      <c r="H57" s="2" t="s">
        <v>11</v>
      </c>
      <c r="I57" s="2" t="s">
        <v>12</v>
      </c>
      <c r="J57" s="1" t="s">
        <v>69</v>
      </c>
      <c r="K57" s="2" t="s">
        <v>32</v>
      </c>
      <c r="L57" s="2" t="s">
        <v>17</v>
      </c>
    </row>
    <row r="58" spans="1:12">
      <c r="A58" s="6" t="s">
        <v>108</v>
      </c>
      <c r="B58" s="5" t="s">
        <v>16</v>
      </c>
      <c r="C58" s="6" t="s">
        <v>2</v>
      </c>
      <c r="D58" s="5" t="s">
        <v>3</v>
      </c>
      <c r="E58" s="7">
        <v>45394</v>
      </c>
      <c r="F58" s="7">
        <v>45543</v>
      </c>
      <c r="G58" s="8">
        <v>149</v>
      </c>
      <c r="H58" s="6" t="s">
        <v>11</v>
      </c>
      <c r="I58" s="6" t="s">
        <v>5</v>
      </c>
      <c r="J58" s="5" t="s">
        <v>81</v>
      </c>
      <c r="K58" s="6" t="s">
        <v>32</v>
      </c>
      <c r="L58" s="6" t="s">
        <v>8</v>
      </c>
    </row>
    <row r="59" spans="1:12">
      <c r="A59" s="2" t="s">
        <v>109</v>
      </c>
      <c r="B59" s="1" t="s">
        <v>64</v>
      </c>
      <c r="C59" s="2" t="s">
        <v>20</v>
      </c>
      <c r="D59" s="1" t="s">
        <v>44</v>
      </c>
      <c r="E59" s="3">
        <v>45356</v>
      </c>
      <c r="F59" s="3">
        <v>45517</v>
      </c>
      <c r="G59" s="4">
        <v>161</v>
      </c>
      <c r="H59" s="2" t="s">
        <v>11</v>
      </c>
      <c r="I59" s="2" t="s">
        <v>12</v>
      </c>
      <c r="J59" s="1" t="s">
        <v>31</v>
      </c>
      <c r="K59" s="2" t="s">
        <v>47</v>
      </c>
      <c r="L59" s="2" t="s">
        <v>17</v>
      </c>
    </row>
    <row r="60" spans="1:12">
      <c r="A60" s="6" t="s">
        <v>110</v>
      </c>
      <c r="B60" s="5" t="s">
        <v>64</v>
      </c>
      <c r="C60" s="6" t="s">
        <v>20</v>
      </c>
      <c r="D60" s="5" t="s">
        <v>10</v>
      </c>
      <c r="E60" s="7">
        <v>45423</v>
      </c>
      <c r="F60" s="7">
        <v>45535</v>
      </c>
      <c r="G60" s="8">
        <v>112</v>
      </c>
      <c r="H60" s="6" t="s">
        <v>11</v>
      </c>
      <c r="I60" s="6" t="s">
        <v>5</v>
      </c>
      <c r="J60" s="5" t="s">
        <v>26</v>
      </c>
      <c r="K60" s="6" t="s">
        <v>7</v>
      </c>
      <c r="L60" s="6" t="s">
        <v>8</v>
      </c>
    </row>
    <row r="61" spans="1:12">
      <c r="A61" s="2" t="s">
        <v>111</v>
      </c>
      <c r="B61" s="1" t="s">
        <v>1</v>
      </c>
      <c r="C61" s="2" t="s">
        <v>2</v>
      </c>
      <c r="D61" s="1" t="s">
        <v>3</v>
      </c>
      <c r="E61" s="3">
        <v>45426</v>
      </c>
      <c r="F61" s="3">
        <v>45542</v>
      </c>
      <c r="G61" s="4">
        <v>116</v>
      </c>
      <c r="H61" s="2" t="s">
        <v>11</v>
      </c>
      <c r="I61" s="2" t="s">
        <v>12</v>
      </c>
      <c r="J61" s="1" t="s">
        <v>40</v>
      </c>
      <c r="K61" s="2" t="s">
        <v>14</v>
      </c>
      <c r="L61" s="2" t="s">
        <v>8</v>
      </c>
    </row>
    <row r="62" spans="1:12">
      <c r="A62" s="6" t="s">
        <v>112</v>
      </c>
      <c r="B62" s="5" t="s">
        <v>64</v>
      </c>
      <c r="C62" s="6" t="s">
        <v>20</v>
      </c>
      <c r="D62" s="5" t="s">
        <v>3</v>
      </c>
      <c r="E62" s="7">
        <v>45302</v>
      </c>
      <c r="F62" s="7">
        <v>45345</v>
      </c>
      <c r="G62" s="8">
        <v>43</v>
      </c>
      <c r="H62" s="6" t="s">
        <v>4</v>
      </c>
      <c r="I62" s="6" t="s">
        <v>5</v>
      </c>
      <c r="J62" s="5" t="s">
        <v>57</v>
      </c>
      <c r="K62" s="6" t="s">
        <v>47</v>
      </c>
      <c r="L62" s="6" t="s">
        <v>8</v>
      </c>
    </row>
    <row r="63" spans="1:12">
      <c r="A63" s="2" t="s">
        <v>113</v>
      </c>
      <c r="B63" s="1" t="s">
        <v>16</v>
      </c>
      <c r="C63" s="2" t="s">
        <v>2</v>
      </c>
      <c r="D63" s="1" t="s">
        <v>21</v>
      </c>
      <c r="E63" s="3">
        <v>45400</v>
      </c>
      <c r="F63" s="3">
        <v>45467</v>
      </c>
      <c r="G63" s="4">
        <v>67</v>
      </c>
      <c r="H63" s="2" t="s">
        <v>4</v>
      </c>
      <c r="I63" s="2" t="s">
        <v>5</v>
      </c>
      <c r="J63" s="1" t="s">
        <v>81</v>
      </c>
      <c r="K63" s="2" t="s">
        <v>32</v>
      </c>
      <c r="L63" s="2" t="s">
        <v>8</v>
      </c>
    </row>
    <row r="64" spans="1:12">
      <c r="A64" s="6" t="s">
        <v>114</v>
      </c>
      <c r="B64" s="5" t="s">
        <v>16</v>
      </c>
      <c r="C64" s="6" t="s">
        <v>2</v>
      </c>
      <c r="D64" s="5" t="s">
        <v>44</v>
      </c>
      <c r="E64" s="7">
        <v>45338</v>
      </c>
      <c r="F64" s="7">
        <v>45409</v>
      </c>
      <c r="G64" s="8">
        <v>71</v>
      </c>
      <c r="H64" s="6" t="s">
        <v>4</v>
      </c>
      <c r="I64" s="6" t="s">
        <v>12</v>
      </c>
      <c r="J64" s="5" t="s">
        <v>75</v>
      </c>
      <c r="K64" s="6" t="s">
        <v>47</v>
      </c>
      <c r="L64" s="6" t="s">
        <v>8</v>
      </c>
    </row>
    <row r="65" spans="1:12">
      <c r="A65" s="2" t="s">
        <v>115</v>
      </c>
      <c r="B65" s="1" t="s">
        <v>24</v>
      </c>
      <c r="C65" s="2" t="s">
        <v>20</v>
      </c>
      <c r="D65" s="1" t="s">
        <v>10</v>
      </c>
      <c r="E65" s="3">
        <v>45418</v>
      </c>
      <c r="F65" s="3">
        <v>45571</v>
      </c>
      <c r="G65" s="4">
        <v>153</v>
      </c>
      <c r="H65" s="2" t="s">
        <v>11</v>
      </c>
      <c r="I65" s="2" t="s">
        <v>5</v>
      </c>
      <c r="J65" s="1" t="s">
        <v>42</v>
      </c>
      <c r="K65" s="2" t="s">
        <v>32</v>
      </c>
      <c r="L65" s="2" t="s">
        <v>8</v>
      </c>
    </row>
    <row r="66" spans="1:12">
      <c r="A66" s="6" t="s">
        <v>116</v>
      </c>
      <c r="B66" s="5" t="s">
        <v>19</v>
      </c>
      <c r="C66" s="6" t="s">
        <v>20</v>
      </c>
      <c r="D66" s="5" t="s">
        <v>3</v>
      </c>
      <c r="E66" s="7">
        <v>45452</v>
      </c>
      <c r="F66" s="7">
        <v>45525</v>
      </c>
      <c r="G66" s="8">
        <v>73</v>
      </c>
      <c r="H66" s="6" t="s">
        <v>4</v>
      </c>
      <c r="I66" s="6" t="s">
        <v>45</v>
      </c>
      <c r="J66" s="5" t="s">
        <v>69</v>
      </c>
      <c r="K66" s="6" t="s">
        <v>32</v>
      </c>
      <c r="L66" s="6" t="s">
        <v>17</v>
      </c>
    </row>
    <row r="67" spans="1:12">
      <c r="A67" s="2" t="s">
        <v>117</v>
      </c>
      <c r="B67" s="1" t="s">
        <v>29</v>
      </c>
      <c r="C67" s="2" t="s">
        <v>20</v>
      </c>
      <c r="D67" s="1" t="s">
        <v>44</v>
      </c>
      <c r="E67" s="3">
        <v>45423</v>
      </c>
      <c r="F67" s="3">
        <v>45450</v>
      </c>
      <c r="G67" s="4">
        <v>27</v>
      </c>
      <c r="H67" s="2" t="s">
        <v>68</v>
      </c>
      <c r="I67" s="2" t="s">
        <v>5</v>
      </c>
      <c r="J67" s="1" t="s">
        <v>31</v>
      </c>
      <c r="K67" s="2" t="s">
        <v>47</v>
      </c>
      <c r="L67" s="2" t="s">
        <v>8</v>
      </c>
    </row>
    <row r="68" spans="1:12">
      <c r="A68" s="6" t="s">
        <v>118</v>
      </c>
      <c r="B68" s="5" t="s">
        <v>54</v>
      </c>
      <c r="C68" s="6" t="s">
        <v>55</v>
      </c>
      <c r="D68" s="5" t="s">
        <v>3</v>
      </c>
      <c r="E68" s="7">
        <v>45312</v>
      </c>
      <c r="F68" s="7">
        <v>45388</v>
      </c>
      <c r="G68" s="8">
        <v>76</v>
      </c>
      <c r="H68" s="6" t="s">
        <v>4</v>
      </c>
      <c r="I68" s="6" t="s">
        <v>5</v>
      </c>
      <c r="J68" s="5" t="s">
        <v>6</v>
      </c>
      <c r="K68" s="6" t="s">
        <v>27</v>
      </c>
      <c r="L68" s="6" t="s">
        <v>8</v>
      </c>
    </row>
    <row r="69" spans="1:12">
      <c r="A69" s="2" t="s">
        <v>119</v>
      </c>
      <c r="B69" s="1" t="s">
        <v>64</v>
      </c>
      <c r="C69" s="2" t="s">
        <v>20</v>
      </c>
      <c r="D69" s="1" t="s">
        <v>44</v>
      </c>
      <c r="E69" s="3">
        <v>45423</v>
      </c>
      <c r="F69" s="3">
        <v>45515</v>
      </c>
      <c r="G69" s="4">
        <v>92</v>
      </c>
      <c r="H69" s="2" t="s">
        <v>11</v>
      </c>
      <c r="I69" s="2" t="s">
        <v>5</v>
      </c>
      <c r="J69" s="1" t="s">
        <v>22</v>
      </c>
      <c r="K69" s="2" t="s">
        <v>27</v>
      </c>
      <c r="L69" s="2" t="s">
        <v>8</v>
      </c>
    </row>
    <row r="70" spans="1:12">
      <c r="A70" s="6" t="s">
        <v>120</v>
      </c>
      <c r="B70" s="5" t="s">
        <v>1</v>
      </c>
      <c r="C70" s="6" t="s">
        <v>2</v>
      </c>
      <c r="D70" s="5" t="s">
        <v>44</v>
      </c>
      <c r="E70" s="7">
        <v>45339</v>
      </c>
      <c r="F70" s="7">
        <v>45422</v>
      </c>
      <c r="G70" s="8">
        <v>83</v>
      </c>
      <c r="H70" s="6" t="s">
        <v>4</v>
      </c>
      <c r="I70" s="6" t="s">
        <v>12</v>
      </c>
      <c r="J70" s="5" t="s">
        <v>31</v>
      </c>
      <c r="K70" s="6" t="s">
        <v>32</v>
      </c>
      <c r="L70" s="6" t="s">
        <v>8</v>
      </c>
    </row>
    <row r="71" spans="1:12">
      <c r="A71" s="2" t="s">
        <v>121</v>
      </c>
      <c r="B71" s="1" t="s">
        <v>24</v>
      </c>
      <c r="C71" s="2" t="s">
        <v>20</v>
      </c>
      <c r="D71" s="1" t="s">
        <v>30</v>
      </c>
      <c r="E71" s="3">
        <v>45338</v>
      </c>
      <c r="F71" s="3">
        <v>45402</v>
      </c>
      <c r="G71" s="4">
        <v>64</v>
      </c>
      <c r="H71" s="2" t="s">
        <v>4</v>
      </c>
      <c r="I71" s="2" t="s">
        <v>5</v>
      </c>
      <c r="J71" s="1" t="s">
        <v>81</v>
      </c>
      <c r="K71" s="2" t="s">
        <v>27</v>
      </c>
      <c r="L71" s="2" t="s">
        <v>8</v>
      </c>
    </row>
    <row r="72" spans="1:12">
      <c r="A72" s="6" t="s">
        <v>122</v>
      </c>
      <c r="B72" s="5" t="s">
        <v>29</v>
      </c>
      <c r="C72" s="6" t="s">
        <v>20</v>
      </c>
      <c r="D72" s="5" t="s">
        <v>3</v>
      </c>
      <c r="E72" s="7">
        <v>45387</v>
      </c>
      <c r="F72" s="7">
        <v>45408</v>
      </c>
      <c r="G72" s="8">
        <v>21</v>
      </c>
      <c r="H72" s="6" t="s">
        <v>68</v>
      </c>
      <c r="I72" s="6" t="s">
        <v>5</v>
      </c>
      <c r="J72" s="5" t="s">
        <v>31</v>
      </c>
      <c r="K72" s="6" t="s">
        <v>32</v>
      </c>
      <c r="L72" s="6" t="s">
        <v>8</v>
      </c>
    </row>
    <row r="73" spans="1:12">
      <c r="A73" s="2" t="s">
        <v>123</v>
      </c>
      <c r="B73" s="1" t="s">
        <v>54</v>
      </c>
      <c r="C73" s="2" t="s">
        <v>55</v>
      </c>
      <c r="D73" s="1" t="s">
        <v>3</v>
      </c>
      <c r="E73" s="3">
        <v>45353</v>
      </c>
      <c r="F73" s="3">
        <v>45495</v>
      </c>
      <c r="G73" s="4">
        <v>142</v>
      </c>
      <c r="H73" s="2" t="s">
        <v>11</v>
      </c>
      <c r="I73" s="2" t="s">
        <v>45</v>
      </c>
      <c r="J73" s="1" t="s">
        <v>46</v>
      </c>
      <c r="K73" s="2" t="s">
        <v>32</v>
      </c>
      <c r="L73" s="2" t="s">
        <v>8</v>
      </c>
    </row>
    <row r="74" spans="1:12">
      <c r="A74" s="6" t="s">
        <v>124</v>
      </c>
      <c r="B74" s="5" t="s">
        <v>29</v>
      </c>
      <c r="C74" s="6" t="s">
        <v>20</v>
      </c>
      <c r="D74" s="5" t="s">
        <v>21</v>
      </c>
      <c r="E74" s="7">
        <v>45325</v>
      </c>
      <c r="F74" s="7">
        <v>45481</v>
      </c>
      <c r="G74" s="8">
        <v>156</v>
      </c>
      <c r="H74" s="6" t="s">
        <v>11</v>
      </c>
      <c r="I74" s="6" t="s">
        <v>5</v>
      </c>
      <c r="J74" s="5" t="s">
        <v>72</v>
      </c>
      <c r="K74" s="6" t="s">
        <v>14</v>
      </c>
      <c r="L74" s="6" t="s">
        <v>17</v>
      </c>
    </row>
    <row r="75" spans="1:12">
      <c r="A75" s="2" t="s">
        <v>125</v>
      </c>
      <c r="B75" s="1" t="s">
        <v>64</v>
      </c>
      <c r="C75" s="2" t="s">
        <v>20</v>
      </c>
      <c r="D75" s="1" t="s">
        <v>44</v>
      </c>
      <c r="E75" s="3">
        <v>45335</v>
      </c>
      <c r="F75" s="3">
        <v>45413</v>
      </c>
      <c r="G75" s="4">
        <v>78</v>
      </c>
      <c r="H75" s="2" t="s">
        <v>4</v>
      </c>
      <c r="I75" s="2" t="s">
        <v>5</v>
      </c>
      <c r="J75" s="1" t="s">
        <v>22</v>
      </c>
      <c r="K75" s="2" t="s">
        <v>27</v>
      </c>
      <c r="L75" s="2" t="s">
        <v>8</v>
      </c>
    </row>
    <row r="76" spans="1:12">
      <c r="A76" s="6" t="s">
        <v>126</v>
      </c>
      <c r="B76" s="5" t="s">
        <v>64</v>
      </c>
      <c r="C76" s="6" t="s">
        <v>20</v>
      </c>
      <c r="D76" s="5" t="s">
        <v>44</v>
      </c>
      <c r="E76" s="7">
        <v>45379</v>
      </c>
      <c r="F76" s="7">
        <v>45482</v>
      </c>
      <c r="G76" s="8">
        <v>103</v>
      </c>
      <c r="H76" s="6" t="s">
        <v>11</v>
      </c>
      <c r="I76" s="6" t="s">
        <v>5</v>
      </c>
      <c r="J76" s="5" t="s">
        <v>52</v>
      </c>
      <c r="K76" s="6" t="s">
        <v>14</v>
      </c>
      <c r="L76" s="6" t="s">
        <v>17</v>
      </c>
    </row>
    <row r="77" spans="1:12">
      <c r="A77" s="2" t="s">
        <v>127</v>
      </c>
      <c r="B77" s="1" t="s">
        <v>1</v>
      </c>
      <c r="C77" s="2" t="s">
        <v>2</v>
      </c>
      <c r="D77" s="1" t="s">
        <v>10</v>
      </c>
      <c r="E77" s="3">
        <v>45349</v>
      </c>
      <c r="F77" s="3">
        <v>45371</v>
      </c>
      <c r="G77" s="4">
        <v>22</v>
      </c>
      <c r="H77" s="2" t="s">
        <v>68</v>
      </c>
      <c r="I77" s="2" t="s">
        <v>12</v>
      </c>
      <c r="J77" s="1" t="s">
        <v>6</v>
      </c>
      <c r="K77" s="2" t="s">
        <v>47</v>
      </c>
      <c r="L77" s="2" t="s">
        <v>8</v>
      </c>
    </row>
    <row r="78" spans="1:12">
      <c r="A78" s="6" t="s">
        <v>128</v>
      </c>
      <c r="B78" s="5" t="s">
        <v>19</v>
      </c>
      <c r="C78" s="6" t="s">
        <v>20</v>
      </c>
      <c r="D78" s="5" t="s">
        <v>44</v>
      </c>
      <c r="E78" s="7">
        <v>45473</v>
      </c>
      <c r="F78" s="7">
        <v>45611</v>
      </c>
      <c r="G78" s="8">
        <v>138</v>
      </c>
      <c r="H78" s="6" t="s">
        <v>11</v>
      </c>
      <c r="I78" s="6" t="s">
        <v>5</v>
      </c>
      <c r="J78" s="5" t="s">
        <v>13</v>
      </c>
      <c r="K78" s="6" t="s">
        <v>14</v>
      </c>
      <c r="L78" s="6" t="s">
        <v>8</v>
      </c>
    </row>
    <row r="79" spans="1:12">
      <c r="A79" s="2" t="s">
        <v>129</v>
      </c>
      <c r="B79" s="1" t="s">
        <v>24</v>
      </c>
      <c r="C79" s="2" t="s">
        <v>20</v>
      </c>
      <c r="D79" s="1" t="s">
        <v>21</v>
      </c>
      <c r="E79" s="3">
        <v>45428</v>
      </c>
      <c r="F79" s="3">
        <v>45501</v>
      </c>
      <c r="G79" s="4">
        <v>73</v>
      </c>
      <c r="H79" s="2" t="s">
        <v>4</v>
      </c>
      <c r="I79" s="2" t="s">
        <v>5</v>
      </c>
      <c r="J79" s="1" t="s">
        <v>42</v>
      </c>
      <c r="K79" s="2" t="s">
        <v>7</v>
      </c>
      <c r="L79" s="2" t="s">
        <v>8</v>
      </c>
    </row>
    <row r="80" spans="1:12">
      <c r="A80" s="13" t="s">
        <v>130</v>
      </c>
      <c r="B80" s="14" t="s">
        <v>19</v>
      </c>
      <c r="C80" s="13" t="s">
        <v>20</v>
      </c>
      <c r="D80" s="14" t="s">
        <v>25</v>
      </c>
      <c r="E80" s="15">
        <v>45344</v>
      </c>
      <c r="F80" s="15">
        <v>45394</v>
      </c>
      <c r="G80" s="16">
        <v>50</v>
      </c>
      <c r="H80" s="13" t="s">
        <v>4</v>
      </c>
      <c r="I80" s="13" t="s">
        <v>5</v>
      </c>
      <c r="J80" s="14" t="s">
        <v>79</v>
      </c>
      <c r="K80" s="13" t="s">
        <v>32</v>
      </c>
      <c r="L80" s="13" t="s">
        <v>17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67AF9-3440-477B-B182-429AD4848C99}">
  <sheetPr codeName="Sheet2"/>
  <dimension ref="A1:M80"/>
  <sheetViews>
    <sheetView topLeftCell="A2" workbookViewId="0">
      <selection activeCell="E12" sqref="E12"/>
    </sheetView>
  </sheetViews>
  <sheetFormatPr defaultRowHeight="15"/>
  <cols>
    <col min="1" max="1" width="14.7109375" bestFit="1" customWidth="1"/>
    <col min="2" max="2" width="32.85546875" bestFit="1" customWidth="1"/>
    <col min="3" max="3" width="11.5703125" bestFit="1" customWidth="1"/>
    <col min="4" max="4" width="15.28515625" bestFit="1" customWidth="1"/>
    <col min="5" max="6" width="15.85546875" bestFit="1" customWidth="1"/>
    <col min="7" max="7" width="14.85546875" bestFit="1" customWidth="1"/>
    <col min="8" max="8" width="10.7109375" bestFit="1" customWidth="1"/>
    <col min="9" max="9" width="9.7109375" bestFit="1" customWidth="1"/>
    <col min="10" max="10" width="20.28515625" bestFit="1" customWidth="1"/>
    <col min="11" max="11" width="6.28515625" bestFit="1" customWidth="1"/>
    <col min="12" max="12" width="6.42578125" bestFit="1" customWidth="1"/>
    <col min="13" max="13" width="18.7109375" bestFit="1" customWidth="1"/>
  </cols>
  <sheetData>
    <row r="1" spans="1:13" s="24" customFormat="1">
      <c r="A1" s="24" t="s">
        <v>134</v>
      </c>
      <c r="B1" s="24" t="s">
        <v>1</v>
      </c>
      <c r="C1" s="24" t="s">
        <v>2</v>
      </c>
      <c r="D1" s="24" t="s">
        <v>3</v>
      </c>
      <c r="E1" s="24" t="s">
        <v>131</v>
      </c>
      <c r="F1" s="24" t="s">
        <v>132</v>
      </c>
      <c r="G1" s="24" t="s">
        <v>135</v>
      </c>
      <c r="H1" s="24" t="s">
        <v>4</v>
      </c>
      <c r="I1" s="24" t="s">
        <v>5</v>
      </c>
      <c r="J1" s="24" t="s">
        <v>6</v>
      </c>
      <c r="K1" s="24" t="s">
        <v>7</v>
      </c>
      <c r="L1" s="24" t="s">
        <v>8</v>
      </c>
      <c r="M1" s="24" t="s">
        <v>136</v>
      </c>
    </row>
    <row r="2" spans="1:13" s="25" customFormat="1">
      <c r="A2" s="25" t="s">
        <v>9</v>
      </c>
      <c r="B2" s="25" t="s">
        <v>1</v>
      </c>
      <c r="C2" s="25" t="s">
        <v>2</v>
      </c>
      <c r="D2" s="25" t="s">
        <v>10</v>
      </c>
      <c r="E2" s="26">
        <v>45358</v>
      </c>
      <c r="F2" s="26">
        <v>45488</v>
      </c>
      <c r="G2" s="25">
        <v>130</v>
      </c>
      <c r="H2" s="31" t="s">
        <v>11</v>
      </c>
      <c r="I2" s="25" t="s">
        <v>12</v>
      </c>
      <c r="J2" s="25" t="s">
        <v>13</v>
      </c>
      <c r="K2" s="25" t="s">
        <v>14</v>
      </c>
      <c r="L2" s="25" t="s">
        <v>8</v>
      </c>
      <c r="M2" s="25" t="s">
        <v>137</v>
      </c>
    </row>
    <row r="3" spans="1:13" s="27" customFormat="1">
      <c r="A3" s="27" t="s">
        <v>15</v>
      </c>
      <c r="B3" s="27" t="s">
        <v>16</v>
      </c>
      <c r="C3" s="27" t="s">
        <v>2</v>
      </c>
      <c r="D3" s="27" t="s">
        <v>10</v>
      </c>
      <c r="E3" s="28">
        <v>45470</v>
      </c>
      <c r="F3" s="28">
        <v>45583</v>
      </c>
      <c r="G3" s="27">
        <v>113</v>
      </c>
      <c r="H3" s="31" t="s">
        <v>11</v>
      </c>
      <c r="I3" s="27" t="s">
        <v>5</v>
      </c>
      <c r="J3" s="27" t="s">
        <v>6</v>
      </c>
      <c r="K3" s="27" t="s">
        <v>14</v>
      </c>
      <c r="L3" s="27" t="s">
        <v>17</v>
      </c>
      <c r="M3" s="27" t="s">
        <v>137</v>
      </c>
    </row>
    <row r="4" spans="1:13" s="25" customFormat="1">
      <c r="A4" s="25" t="s">
        <v>18</v>
      </c>
      <c r="B4" s="25" t="s">
        <v>19</v>
      </c>
      <c r="C4" s="25" t="s">
        <v>20</v>
      </c>
      <c r="D4" s="25" t="s">
        <v>21</v>
      </c>
      <c r="E4" s="26">
        <v>45322</v>
      </c>
      <c r="F4" s="26">
        <v>45476</v>
      </c>
      <c r="G4" s="25">
        <v>154</v>
      </c>
      <c r="H4" s="31" t="s">
        <v>11</v>
      </c>
      <c r="I4" s="25" t="s">
        <v>5</v>
      </c>
      <c r="J4" s="25" t="s">
        <v>22</v>
      </c>
      <c r="K4" s="25" t="s">
        <v>7</v>
      </c>
      <c r="L4" s="25" t="s">
        <v>8</v>
      </c>
      <c r="M4" s="25" t="s">
        <v>137</v>
      </c>
    </row>
    <row r="5" spans="1:13" s="25" customFormat="1">
      <c r="A5" s="25" t="s">
        <v>23</v>
      </c>
      <c r="B5" s="25" t="s">
        <v>24</v>
      </c>
      <c r="C5" s="25" t="s">
        <v>20</v>
      </c>
      <c r="D5" s="25" t="s">
        <v>25</v>
      </c>
      <c r="E5" s="26">
        <v>45372</v>
      </c>
      <c r="F5" s="26">
        <v>45520</v>
      </c>
      <c r="G5" s="25">
        <v>148</v>
      </c>
      <c r="H5" s="31" t="s">
        <v>4</v>
      </c>
      <c r="I5" s="25" t="s">
        <v>5</v>
      </c>
      <c r="J5" s="25" t="s">
        <v>26</v>
      </c>
      <c r="K5" s="25" t="s">
        <v>27</v>
      </c>
      <c r="L5" s="25" t="s">
        <v>17</v>
      </c>
      <c r="M5" s="25" t="s">
        <v>137</v>
      </c>
    </row>
    <row r="6" spans="1:13" s="27" customFormat="1">
      <c r="A6" s="27" t="s">
        <v>28</v>
      </c>
      <c r="B6" s="27" t="s">
        <v>29</v>
      </c>
      <c r="C6" s="27" t="s">
        <v>20</v>
      </c>
      <c r="D6" s="27" t="s">
        <v>30</v>
      </c>
      <c r="E6" s="28">
        <v>45405</v>
      </c>
      <c r="F6" s="28">
        <v>45472</v>
      </c>
      <c r="G6" s="27">
        <v>67</v>
      </c>
      <c r="H6" s="32" t="s">
        <v>4</v>
      </c>
      <c r="I6" s="27" t="s">
        <v>5</v>
      </c>
      <c r="J6" s="27" t="s">
        <v>31</v>
      </c>
      <c r="K6" s="27" t="s">
        <v>32</v>
      </c>
      <c r="L6" s="27" t="s">
        <v>8</v>
      </c>
      <c r="M6" s="27" t="s">
        <v>138</v>
      </c>
    </row>
    <row r="7" spans="1:13" s="25" customFormat="1">
      <c r="A7" s="25" t="s">
        <v>33</v>
      </c>
      <c r="B7" s="25" t="s">
        <v>34</v>
      </c>
      <c r="C7" s="25" t="s">
        <v>35</v>
      </c>
      <c r="D7" s="25" t="s">
        <v>3</v>
      </c>
      <c r="E7" s="26">
        <v>45453</v>
      </c>
      <c r="F7" s="26">
        <v>45592</v>
      </c>
      <c r="G7" s="25">
        <v>139</v>
      </c>
      <c r="H7" s="31" t="s">
        <v>11</v>
      </c>
      <c r="I7" s="25" t="s">
        <v>5</v>
      </c>
      <c r="J7" s="25" t="s">
        <v>36</v>
      </c>
      <c r="K7" s="25" t="s">
        <v>27</v>
      </c>
      <c r="L7" s="25" t="s">
        <v>8</v>
      </c>
      <c r="M7" s="25" t="s">
        <v>137</v>
      </c>
    </row>
    <row r="8" spans="1:13" s="25" customFormat="1">
      <c r="A8" s="25" t="s">
        <v>37</v>
      </c>
      <c r="B8" s="25" t="s">
        <v>29</v>
      </c>
      <c r="C8" s="25" t="s">
        <v>20</v>
      </c>
      <c r="D8" s="25" t="s">
        <v>10</v>
      </c>
      <c r="E8" s="26">
        <v>45425</v>
      </c>
      <c r="F8" s="26">
        <v>45569</v>
      </c>
      <c r="G8" s="25">
        <v>144</v>
      </c>
      <c r="H8" s="31" t="s">
        <v>11</v>
      </c>
      <c r="I8" s="25" t="s">
        <v>12</v>
      </c>
      <c r="J8" s="25" t="s">
        <v>38</v>
      </c>
      <c r="K8" s="25" t="s">
        <v>7</v>
      </c>
      <c r="L8" s="25" t="s">
        <v>8</v>
      </c>
      <c r="M8" s="25" t="s">
        <v>137</v>
      </c>
    </row>
    <row r="9" spans="1:13" s="27" customFormat="1">
      <c r="A9" s="27" t="s">
        <v>39</v>
      </c>
      <c r="B9" s="27" t="s">
        <v>29</v>
      </c>
      <c r="C9" s="27" t="s">
        <v>20</v>
      </c>
      <c r="D9" s="27" t="s">
        <v>10</v>
      </c>
      <c r="E9" s="28">
        <v>45309</v>
      </c>
      <c r="F9" s="28">
        <v>45415</v>
      </c>
      <c r="G9" s="27">
        <v>106</v>
      </c>
      <c r="H9" s="31" t="s">
        <v>11</v>
      </c>
      <c r="I9" s="27" t="s">
        <v>5</v>
      </c>
      <c r="J9" s="27" t="s">
        <v>40</v>
      </c>
      <c r="K9" s="27" t="s">
        <v>32</v>
      </c>
      <c r="L9" s="27" t="s">
        <v>8</v>
      </c>
      <c r="M9" s="27" t="s">
        <v>137</v>
      </c>
    </row>
    <row r="10" spans="1:13" s="27" customFormat="1">
      <c r="A10" s="27" t="s">
        <v>41</v>
      </c>
      <c r="B10" s="27" t="s">
        <v>34</v>
      </c>
      <c r="C10" s="27" t="s">
        <v>35</v>
      </c>
      <c r="D10" s="27" t="s">
        <v>21</v>
      </c>
      <c r="E10" s="28">
        <v>45453</v>
      </c>
      <c r="F10" s="28">
        <v>45495</v>
      </c>
      <c r="G10" s="27">
        <v>42</v>
      </c>
      <c r="H10" s="32" t="s">
        <v>4</v>
      </c>
      <c r="I10" s="27" t="s">
        <v>5</v>
      </c>
      <c r="J10" s="27" t="s">
        <v>42</v>
      </c>
      <c r="K10" s="27" t="s">
        <v>14</v>
      </c>
      <c r="L10" s="27" t="s">
        <v>17</v>
      </c>
      <c r="M10" s="27" t="s">
        <v>138</v>
      </c>
    </row>
    <row r="11" spans="1:13" s="27" customFormat="1">
      <c r="A11" s="27" t="s">
        <v>43</v>
      </c>
      <c r="B11" s="27" t="s">
        <v>16</v>
      </c>
      <c r="C11" s="27" t="s">
        <v>2</v>
      </c>
      <c r="D11" s="27" t="s">
        <v>44</v>
      </c>
      <c r="E11" s="28">
        <v>45432</v>
      </c>
      <c r="F11" s="28">
        <v>45512</v>
      </c>
      <c r="G11" s="27">
        <v>80</v>
      </c>
      <c r="H11" s="32" t="s">
        <v>4</v>
      </c>
      <c r="I11" s="27" t="s">
        <v>45</v>
      </c>
      <c r="J11" s="27" t="s">
        <v>46</v>
      </c>
      <c r="K11" s="27" t="s">
        <v>47</v>
      </c>
      <c r="L11" s="27" t="s">
        <v>8</v>
      </c>
      <c r="M11" s="27" t="s">
        <v>138</v>
      </c>
    </row>
    <row r="12" spans="1:13" s="25" customFormat="1">
      <c r="A12" s="25" t="s">
        <v>48</v>
      </c>
      <c r="B12" s="25" t="s">
        <v>34</v>
      </c>
      <c r="C12" s="25" t="s">
        <v>35</v>
      </c>
      <c r="D12" s="25" t="s">
        <v>44</v>
      </c>
      <c r="E12" s="26">
        <v>45405</v>
      </c>
      <c r="F12" s="26">
        <v>45568</v>
      </c>
      <c r="G12" s="25">
        <v>163</v>
      </c>
      <c r="H12" s="31" t="s">
        <v>11</v>
      </c>
      <c r="I12" s="25" t="s">
        <v>5</v>
      </c>
      <c r="J12" s="25" t="s">
        <v>49</v>
      </c>
      <c r="K12" s="25" t="s">
        <v>14</v>
      </c>
      <c r="L12" s="25" t="s">
        <v>8</v>
      </c>
      <c r="M12" s="25" t="s">
        <v>137</v>
      </c>
    </row>
    <row r="13" spans="1:13" s="25" customFormat="1">
      <c r="A13" s="25" t="s">
        <v>50</v>
      </c>
      <c r="B13" s="25" t="s">
        <v>16</v>
      </c>
      <c r="C13" s="25" t="s">
        <v>2</v>
      </c>
      <c r="D13" s="25" t="s">
        <v>25</v>
      </c>
      <c r="E13" s="26">
        <v>45404</v>
      </c>
      <c r="F13" s="26">
        <v>45582</v>
      </c>
      <c r="G13" s="25">
        <v>178</v>
      </c>
      <c r="H13" s="31" t="s">
        <v>11</v>
      </c>
      <c r="I13" s="25" t="s">
        <v>12</v>
      </c>
      <c r="J13" s="25" t="s">
        <v>46</v>
      </c>
      <c r="K13" s="25" t="s">
        <v>27</v>
      </c>
      <c r="L13" s="25" t="s">
        <v>8</v>
      </c>
      <c r="M13" s="25" t="s">
        <v>137</v>
      </c>
    </row>
    <row r="14" spans="1:13" s="25" customFormat="1">
      <c r="A14" s="25" t="s">
        <v>51</v>
      </c>
      <c r="B14" s="25" t="s">
        <v>24</v>
      </c>
      <c r="C14" s="25" t="s">
        <v>20</v>
      </c>
      <c r="D14" s="25" t="s">
        <v>30</v>
      </c>
      <c r="E14" s="26">
        <v>45423</v>
      </c>
      <c r="F14" s="26">
        <v>45600</v>
      </c>
      <c r="G14" s="25">
        <v>177</v>
      </c>
      <c r="H14" s="31" t="s">
        <v>11</v>
      </c>
      <c r="I14" s="25" t="s">
        <v>5</v>
      </c>
      <c r="J14" s="25" t="s">
        <v>52</v>
      </c>
      <c r="K14" s="25" t="s">
        <v>14</v>
      </c>
      <c r="L14" s="25" t="s">
        <v>8</v>
      </c>
      <c r="M14" s="25" t="s">
        <v>137</v>
      </c>
    </row>
    <row r="15" spans="1:13" s="27" customFormat="1">
      <c r="A15" s="27" t="s">
        <v>53</v>
      </c>
      <c r="B15" s="27" t="s">
        <v>54</v>
      </c>
      <c r="C15" s="27" t="s">
        <v>55</v>
      </c>
      <c r="D15" s="27" t="s">
        <v>44</v>
      </c>
      <c r="E15" s="28">
        <v>45412</v>
      </c>
      <c r="F15" s="28">
        <v>45494</v>
      </c>
      <c r="G15" s="27">
        <v>82</v>
      </c>
      <c r="H15" s="32" t="s">
        <v>4</v>
      </c>
      <c r="I15" s="27" t="s">
        <v>5</v>
      </c>
      <c r="J15" s="27" t="s">
        <v>6</v>
      </c>
      <c r="K15" s="27" t="s">
        <v>14</v>
      </c>
      <c r="L15" s="27" t="s">
        <v>8</v>
      </c>
      <c r="M15" s="27" t="s">
        <v>138</v>
      </c>
    </row>
    <row r="16" spans="1:13" s="27" customFormat="1">
      <c r="A16" s="27" t="s">
        <v>56</v>
      </c>
      <c r="B16" s="27" t="s">
        <v>34</v>
      </c>
      <c r="C16" s="27" t="s">
        <v>35</v>
      </c>
      <c r="D16" s="27" t="s">
        <v>10</v>
      </c>
      <c r="E16" s="28">
        <v>45473</v>
      </c>
      <c r="F16" s="28">
        <v>45589</v>
      </c>
      <c r="G16" s="27">
        <v>116</v>
      </c>
      <c r="H16" s="31" t="s">
        <v>11</v>
      </c>
      <c r="I16" s="27" t="s">
        <v>5</v>
      </c>
      <c r="J16" s="27" t="s">
        <v>57</v>
      </c>
      <c r="K16" s="27" t="s">
        <v>14</v>
      </c>
      <c r="L16" s="27" t="s">
        <v>8</v>
      </c>
      <c r="M16" s="27" t="s">
        <v>137</v>
      </c>
    </row>
    <row r="17" spans="1:13" s="25" customFormat="1">
      <c r="A17" s="25" t="s">
        <v>58</v>
      </c>
      <c r="B17" s="25" t="s">
        <v>29</v>
      </c>
      <c r="C17" s="25" t="s">
        <v>20</v>
      </c>
      <c r="D17" s="25" t="s">
        <v>3</v>
      </c>
      <c r="E17" s="26">
        <v>45431</v>
      </c>
      <c r="F17" s="26">
        <v>45560</v>
      </c>
      <c r="G17" s="25">
        <v>129</v>
      </c>
      <c r="H17" s="31" t="s">
        <v>11</v>
      </c>
      <c r="I17" s="25" t="s">
        <v>5</v>
      </c>
      <c r="J17" s="25" t="s">
        <v>26</v>
      </c>
      <c r="K17" s="25" t="s">
        <v>7</v>
      </c>
      <c r="L17" s="25" t="s">
        <v>8</v>
      </c>
      <c r="M17" s="25" t="s">
        <v>137</v>
      </c>
    </row>
    <row r="18" spans="1:13" s="27" customFormat="1">
      <c r="A18" s="27" t="s">
        <v>59</v>
      </c>
      <c r="B18" s="27" t="s">
        <v>54</v>
      </c>
      <c r="C18" s="27" t="s">
        <v>55</v>
      </c>
      <c r="D18" s="27" t="s">
        <v>3</v>
      </c>
      <c r="E18" s="28">
        <v>45469</v>
      </c>
      <c r="F18" s="28">
        <v>45591</v>
      </c>
      <c r="G18" s="27">
        <v>122</v>
      </c>
      <c r="H18" s="31" t="s">
        <v>11</v>
      </c>
      <c r="I18" s="27" t="s">
        <v>5</v>
      </c>
      <c r="J18" s="27" t="s">
        <v>60</v>
      </c>
      <c r="K18" s="27" t="s">
        <v>27</v>
      </c>
      <c r="L18" s="27" t="s">
        <v>8</v>
      </c>
      <c r="M18" s="27" t="s">
        <v>137</v>
      </c>
    </row>
    <row r="19" spans="1:13" s="27" customFormat="1">
      <c r="A19" s="27" t="s">
        <v>61</v>
      </c>
      <c r="B19" s="27" t="s">
        <v>24</v>
      </c>
      <c r="C19" s="27" t="s">
        <v>20</v>
      </c>
      <c r="D19" s="27" t="s">
        <v>10</v>
      </c>
      <c r="E19" s="28">
        <v>45399</v>
      </c>
      <c r="F19" s="28">
        <v>45506</v>
      </c>
      <c r="G19" s="27">
        <v>107</v>
      </c>
      <c r="H19" s="31" t="s">
        <v>11</v>
      </c>
      <c r="I19" s="27" t="s">
        <v>12</v>
      </c>
      <c r="J19" s="27" t="s">
        <v>62</v>
      </c>
      <c r="K19" s="27" t="s">
        <v>47</v>
      </c>
      <c r="L19" s="27" t="s">
        <v>8</v>
      </c>
      <c r="M19" s="27" t="s">
        <v>137</v>
      </c>
    </row>
    <row r="20" spans="1:13" s="25" customFormat="1">
      <c r="A20" s="25" t="s">
        <v>63</v>
      </c>
      <c r="B20" s="25" t="s">
        <v>64</v>
      </c>
      <c r="C20" s="25" t="s">
        <v>20</v>
      </c>
      <c r="D20" s="25" t="s">
        <v>10</v>
      </c>
      <c r="E20" s="26">
        <v>45335</v>
      </c>
      <c r="F20" s="26">
        <v>45509</v>
      </c>
      <c r="G20" s="25">
        <v>174</v>
      </c>
      <c r="H20" s="31" t="s">
        <v>11</v>
      </c>
      <c r="I20" s="25" t="s">
        <v>5</v>
      </c>
      <c r="J20" s="25" t="s">
        <v>42</v>
      </c>
      <c r="K20" s="25" t="s">
        <v>14</v>
      </c>
      <c r="L20" s="25" t="s">
        <v>8</v>
      </c>
      <c r="M20" s="25" t="s">
        <v>137</v>
      </c>
    </row>
    <row r="21" spans="1:13" s="25" customFormat="1">
      <c r="A21" s="25" t="s">
        <v>65</v>
      </c>
      <c r="B21" s="25" t="s">
        <v>19</v>
      </c>
      <c r="C21" s="25" t="s">
        <v>20</v>
      </c>
      <c r="D21" s="25" t="s">
        <v>25</v>
      </c>
      <c r="E21" s="26">
        <v>45451</v>
      </c>
      <c r="F21" s="26">
        <v>45629</v>
      </c>
      <c r="G21" s="25">
        <v>178</v>
      </c>
      <c r="H21" s="31" t="s">
        <v>11</v>
      </c>
      <c r="I21" s="25" t="s">
        <v>5</v>
      </c>
      <c r="J21" s="25" t="s">
        <v>22</v>
      </c>
      <c r="K21" s="25" t="s">
        <v>47</v>
      </c>
      <c r="L21" s="25" t="s">
        <v>17</v>
      </c>
      <c r="M21" s="25" t="s">
        <v>137</v>
      </c>
    </row>
    <row r="22" spans="1:13" s="27" customFormat="1">
      <c r="A22" s="27" t="s">
        <v>66</v>
      </c>
      <c r="B22" s="27" t="s">
        <v>16</v>
      </c>
      <c r="C22" s="27" t="s">
        <v>2</v>
      </c>
      <c r="D22" s="27" t="s">
        <v>30</v>
      </c>
      <c r="E22" s="28">
        <v>45392</v>
      </c>
      <c r="F22" s="28">
        <v>45511</v>
      </c>
      <c r="G22" s="27">
        <v>119</v>
      </c>
      <c r="H22" s="31" t="s">
        <v>11</v>
      </c>
      <c r="I22" s="27" t="s">
        <v>5</v>
      </c>
      <c r="J22" s="27" t="s">
        <v>26</v>
      </c>
      <c r="K22" s="27" t="s">
        <v>32</v>
      </c>
      <c r="L22" s="27" t="s">
        <v>17</v>
      </c>
      <c r="M22" s="27" t="s">
        <v>137</v>
      </c>
    </row>
    <row r="23" spans="1:13" s="27" customFormat="1">
      <c r="A23" s="27" t="s">
        <v>67</v>
      </c>
      <c r="B23" s="27" t="s">
        <v>19</v>
      </c>
      <c r="C23" s="27" t="s">
        <v>20</v>
      </c>
      <c r="D23" s="27" t="s">
        <v>25</v>
      </c>
      <c r="E23" s="28">
        <v>45361</v>
      </c>
      <c r="F23" s="28">
        <v>45393</v>
      </c>
      <c r="G23" s="27">
        <v>32</v>
      </c>
      <c r="H23" s="33" t="s">
        <v>68</v>
      </c>
      <c r="I23" s="27" t="s">
        <v>5</v>
      </c>
      <c r="J23" s="27" t="s">
        <v>69</v>
      </c>
      <c r="K23" s="27" t="s">
        <v>14</v>
      </c>
      <c r="L23" s="27" t="s">
        <v>17</v>
      </c>
      <c r="M23" s="27" t="s">
        <v>138</v>
      </c>
    </row>
    <row r="24" spans="1:13" s="27" customFormat="1">
      <c r="A24" s="27" t="s">
        <v>70</v>
      </c>
      <c r="B24" s="27" t="s">
        <v>34</v>
      </c>
      <c r="C24" s="27" t="s">
        <v>35</v>
      </c>
      <c r="D24" s="27" t="s">
        <v>44</v>
      </c>
      <c r="E24" s="28">
        <v>45340</v>
      </c>
      <c r="F24" s="28">
        <v>45443</v>
      </c>
      <c r="G24" s="27">
        <v>103</v>
      </c>
      <c r="H24" s="31" t="s">
        <v>11</v>
      </c>
      <c r="I24" s="27" t="s">
        <v>12</v>
      </c>
      <c r="J24" s="27" t="s">
        <v>31</v>
      </c>
      <c r="K24" s="27" t="s">
        <v>27</v>
      </c>
      <c r="L24" s="27" t="s">
        <v>8</v>
      </c>
      <c r="M24" s="27" t="s">
        <v>138</v>
      </c>
    </row>
    <row r="25" spans="1:13" s="27" customFormat="1">
      <c r="A25" s="27" t="s">
        <v>71</v>
      </c>
      <c r="B25" s="27" t="s">
        <v>16</v>
      </c>
      <c r="C25" s="27" t="s">
        <v>2</v>
      </c>
      <c r="D25" s="27" t="s">
        <v>21</v>
      </c>
      <c r="E25" s="28">
        <v>45468</v>
      </c>
      <c r="F25" s="28">
        <v>45536</v>
      </c>
      <c r="G25" s="27">
        <v>68</v>
      </c>
      <c r="H25" s="32" t="s">
        <v>4</v>
      </c>
      <c r="I25" s="27" t="s">
        <v>5</v>
      </c>
      <c r="J25" s="27" t="s">
        <v>72</v>
      </c>
      <c r="K25" s="27" t="s">
        <v>32</v>
      </c>
      <c r="L25" s="27" t="s">
        <v>8</v>
      </c>
      <c r="M25" s="27" t="s">
        <v>138</v>
      </c>
    </row>
    <row r="26" spans="1:13" s="27" customFormat="1">
      <c r="A26" s="27" t="s">
        <v>73</v>
      </c>
      <c r="B26" s="27" t="s">
        <v>19</v>
      </c>
      <c r="C26" s="27" t="s">
        <v>20</v>
      </c>
      <c r="D26" s="27" t="s">
        <v>25</v>
      </c>
      <c r="E26" s="28">
        <v>45432</v>
      </c>
      <c r="F26" s="28">
        <v>45485</v>
      </c>
      <c r="G26" s="27">
        <v>53</v>
      </c>
      <c r="H26" s="32" t="s">
        <v>4</v>
      </c>
      <c r="I26" s="27" t="s">
        <v>45</v>
      </c>
      <c r="J26" s="27" t="s">
        <v>49</v>
      </c>
      <c r="K26" s="27" t="s">
        <v>47</v>
      </c>
      <c r="L26" s="27" t="s">
        <v>17</v>
      </c>
      <c r="M26" s="27" t="s">
        <v>138</v>
      </c>
    </row>
    <row r="27" spans="1:13" s="29" customFormat="1">
      <c r="A27" s="29" t="s">
        <v>74</v>
      </c>
      <c r="B27" s="29" t="s">
        <v>16</v>
      </c>
      <c r="C27" s="29" t="s">
        <v>2</v>
      </c>
      <c r="D27" s="29" t="s">
        <v>30</v>
      </c>
      <c r="E27" s="30">
        <v>45379</v>
      </c>
      <c r="F27" s="30">
        <v>45397</v>
      </c>
      <c r="G27" s="29">
        <v>18</v>
      </c>
      <c r="H27" s="33" t="s">
        <v>68</v>
      </c>
      <c r="I27" s="29" t="s">
        <v>45</v>
      </c>
      <c r="J27" s="29" t="s">
        <v>75</v>
      </c>
      <c r="K27" s="29" t="s">
        <v>47</v>
      </c>
      <c r="L27" s="29" t="s">
        <v>17</v>
      </c>
      <c r="M27" s="29" t="s">
        <v>139</v>
      </c>
    </row>
    <row r="28" spans="1:13" s="27" customFormat="1">
      <c r="A28" s="27" t="s">
        <v>76</v>
      </c>
      <c r="B28" s="27" t="s">
        <v>29</v>
      </c>
      <c r="C28" s="27" t="s">
        <v>20</v>
      </c>
      <c r="D28" s="27" t="s">
        <v>21</v>
      </c>
      <c r="E28" s="28">
        <v>45376</v>
      </c>
      <c r="F28" s="28">
        <v>45483</v>
      </c>
      <c r="G28" s="27">
        <v>107</v>
      </c>
      <c r="H28" s="31" t="s">
        <v>11</v>
      </c>
      <c r="I28" s="27" t="s">
        <v>5</v>
      </c>
      <c r="J28" s="27" t="s">
        <v>13</v>
      </c>
      <c r="K28" s="27" t="s">
        <v>7</v>
      </c>
      <c r="L28" s="27" t="s">
        <v>8</v>
      </c>
      <c r="M28" s="27" t="s">
        <v>137</v>
      </c>
    </row>
    <row r="29" spans="1:13" s="27" customFormat="1">
      <c r="A29" s="27" t="s">
        <v>77</v>
      </c>
      <c r="B29" s="27" t="s">
        <v>54</v>
      </c>
      <c r="C29" s="27" t="s">
        <v>55</v>
      </c>
      <c r="D29" s="27" t="s">
        <v>21</v>
      </c>
      <c r="E29" s="28">
        <v>45472</v>
      </c>
      <c r="F29" s="28">
        <v>45507</v>
      </c>
      <c r="G29" s="27">
        <v>35</v>
      </c>
      <c r="H29" s="33" t="s">
        <v>68</v>
      </c>
      <c r="I29" s="27" t="s">
        <v>12</v>
      </c>
      <c r="J29" s="27" t="s">
        <v>26</v>
      </c>
      <c r="K29" s="27" t="s">
        <v>32</v>
      </c>
      <c r="L29" s="27" t="s">
        <v>8</v>
      </c>
      <c r="M29" s="27" t="s">
        <v>138</v>
      </c>
    </row>
    <row r="30" spans="1:13" s="25" customFormat="1">
      <c r="A30" s="25" t="s">
        <v>78</v>
      </c>
      <c r="B30" s="25" t="s">
        <v>16</v>
      </c>
      <c r="C30" s="25" t="s">
        <v>2</v>
      </c>
      <c r="D30" s="25" t="s">
        <v>3</v>
      </c>
      <c r="E30" s="26">
        <v>45433</v>
      </c>
      <c r="F30" s="26">
        <v>45585</v>
      </c>
      <c r="G30" s="25">
        <v>152</v>
      </c>
      <c r="H30" s="31" t="s">
        <v>11</v>
      </c>
      <c r="I30" s="25" t="s">
        <v>5</v>
      </c>
      <c r="J30" s="25" t="s">
        <v>79</v>
      </c>
      <c r="K30" s="25" t="s">
        <v>27</v>
      </c>
      <c r="L30" s="25" t="s">
        <v>8</v>
      </c>
      <c r="M30" s="25" t="s">
        <v>137</v>
      </c>
    </row>
    <row r="31" spans="1:13" s="27" customFormat="1">
      <c r="A31" s="27" t="s">
        <v>80</v>
      </c>
      <c r="B31" s="27" t="s">
        <v>19</v>
      </c>
      <c r="C31" s="27" t="s">
        <v>20</v>
      </c>
      <c r="D31" s="27" t="s">
        <v>30</v>
      </c>
      <c r="E31" s="28">
        <v>45345</v>
      </c>
      <c r="F31" s="28">
        <v>45449</v>
      </c>
      <c r="G31" s="27">
        <v>104</v>
      </c>
      <c r="H31" s="31" t="s">
        <v>11</v>
      </c>
      <c r="I31" s="27" t="s">
        <v>5</v>
      </c>
      <c r="J31" s="27" t="s">
        <v>81</v>
      </c>
      <c r="K31" s="27" t="s">
        <v>47</v>
      </c>
      <c r="L31" s="27" t="s">
        <v>8</v>
      </c>
      <c r="M31" s="27" t="s">
        <v>138</v>
      </c>
    </row>
    <row r="32" spans="1:13" s="25" customFormat="1">
      <c r="A32" s="25" t="s">
        <v>82</v>
      </c>
      <c r="B32" s="25" t="s">
        <v>64</v>
      </c>
      <c r="C32" s="25" t="s">
        <v>20</v>
      </c>
      <c r="D32" s="25" t="s">
        <v>21</v>
      </c>
      <c r="E32" s="26">
        <v>45326</v>
      </c>
      <c r="F32" s="26">
        <v>45464</v>
      </c>
      <c r="G32" s="25">
        <v>138</v>
      </c>
      <c r="H32" s="31" t="s">
        <v>11</v>
      </c>
      <c r="I32" s="25" t="s">
        <v>12</v>
      </c>
      <c r="J32" s="25" t="s">
        <v>31</v>
      </c>
      <c r="K32" s="25" t="s">
        <v>14</v>
      </c>
      <c r="L32" s="25" t="s">
        <v>8</v>
      </c>
      <c r="M32" s="25" t="s">
        <v>137</v>
      </c>
    </row>
    <row r="33" spans="1:13" s="25" customFormat="1">
      <c r="A33" s="25" t="s">
        <v>83</v>
      </c>
      <c r="B33" s="25" t="s">
        <v>19</v>
      </c>
      <c r="C33" s="25" t="s">
        <v>20</v>
      </c>
      <c r="D33" s="25" t="s">
        <v>25</v>
      </c>
      <c r="E33" s="26">
        <v>45473</v>
      </c>
      <c r="F33" s="26">
        <v>45640</v>
      </c>
      <c r="G33" s="25">
        <v>167</v>
      </c>
      <c r="H33" s="31" t="s">
        <v>11</v>
      </c>
      <c r="I33" s="25" t="s">
        <v>5</v>
      </c>
      <c r="J33" s="25" t="s">
        <v>36</v>
      </c>
      <c r="K33" s="25" t="s">
        <v>7</v>
      </c>
      <c r="L33" s="25" t="s">
        <v>8</v>
      </c>
      <c r="M33" s="25" t="s">
        <v>137</v>
      </c>
    </row>
    <row r="34" spans="1:13" s="27" customFormat="1">
      <c r="A34" s="27" t="s">
        <v>84</v>
      </c>
      <c r="B34" s="27" t="s">
        <v>34</v>
      </c>
      <c r="C34" s="27" t="s">
        <v>35</v>
      </c>
      <c r="D34" s="27" t="s">
        <v>25</v>
      </c>
      <c r="E34" s="28">
        <v>45394</v>
      </c>
      <c r="F34" s="28">
        <v>45506</v>
      </c>
      <c r="G34" s="27">
        <v>112</v>
      </c>
      <c r="H34" s="31" t="s">
        <v>11</v>
      </c>
      <c r="I34" s="27" t="s">
        <v>5</v>
      </c>
      <c r="J34" s="27" t="s">
        <v>49</v>
      </c>
      <c r="K34" s="27" t="s">
        <v>14</v>
      </c>
      <c r="L34" s="27" t="s">
        <v>8</v>
      </c>
      <c r="M34" s="27" t="s">
        <v>137</v>
      </c>
    </row>
    <row r="35" spans="1:13" s="27" customFormat="1">
      <c r="A35" s="27" t="s">
        <v>85</v>
      </c>
      <c r="B35" s="27" t="s">
        <v>29</v>
      </c>
      <c r="C35" s="27" t="s">
        <v>20</v>
      </c>
      <c r="D35" s="27" t="s">
        <v>3</v>
      </c>
      <c r="E35" s="28">
        <v>45384</v>
      </c>
      <c r="F35" s="28">
        <v>45505</v>
      </c>
      <c r="G35" s="27">
        <v>121</v>
      </c>
      <c r="H35" s="31" t="s">
        <v>11</v>
      </c>
      <c r="I35" s="27" t="s">
        <v>5</v>
      </c>
      <c r="J35" s="27" t="s">
        <v>72</v>
      </c>
      <c r="K35" s="27" t="s">
        <v>14</v>
      </c>
      <c r="L35" s="27" t="s">
        <v>8</v>
      </c>
      <c r="M35" s="27" t="s">
        <v>137</v>
      </c>
    </row>
    <row r="36" spans="1:13" s="29" customFormat="1">
      <c r="A36" s="29" t="s">
        <v>86</v>
      </c>
      <c r="B36" s="29" t="s">
        <v>16</v>
      </c>
      <c r="C36" s="29" t="s">
        <v>2</v>
      </c>
      <c r="D36" s="29" t="s">
        <v>3</v>
      </c>
      <c r="E36" s="30">
        <v>45411</v>
      </c>
      <c r="F36" s="30">
        <v>45425</v>
      </c>
      <c r="G36" s="29">
        <v>14</v>
      </c>
      <c r="H36" s="33" t="s">
        <v>68</v>
      </c>
      <c r="I36" s="29" t="s">
        <v>5</v>
      </c>
      <c r="J36" s="29" t="s">
        <v>26</v>
      </c>
      <c r="K36" s="29" t="s">
        <v>27</v>
      </c>
      <c r="L36" s="29" t="s">
        <v>8</v>
      </c>
      <c r="M36" s="29" t="s">
        <v>139</v>
      </c>
    </row>
    <row r="37" spans="1:13" s="27" customFormat="1">
      <c r="A37" s="27" t="s">
        <v>87</v>
      </c>
      <c r="B37" s="27" t="s">
        <v>29</v>
      </c>
      <c r="C37" s="27" t="s">
        <v>20</v>
      </c>
      <c r="D37" s="27" t="s">
        <v>30</v>
      </c>
      <c r="E37" s="28">
        <v>45385</v>
      </c>
      <c r="F37" s="28">
        <v>45452</v>
      </c>
      <c r="G37" s="27">
        <v>67</v>
      </c>
      <c r="H37" s="32" t="s">
        <v>4</v>
      </c>
      <c r="I37" s="27" t="s">
        <v>5</v>
      </c>
      <c r="J37" s="27" t="s">
        <v>60</v>
      </c>
      <c r="K37" s="27" t="s">
        <v>7</v>
      </c>
      <c r="L37" s="27" t="s">
        <v>8</v>
      </c>
      <c r="M37" s="27" t="s">
        <v>138</v>
      </c>
    </row>
    <row r="38" spans="1:13" s="25" customFormat="1">
      <c r="A38" s="25" t="s">
        <v>88</v>
      </c>
      <c r="B38" s="25" t="s">
        <v>16</v>
      </c>
      <c r="C38" s="25" t="s">
        <v>2</v>
      </c>
      <c r="D38" s="25" t="s">
        <v>10</v>
      </c>
      <c r="E38" s="26">
        <v>45466</v>
      </c>
      <c r="F38" s="26">
        <v>45603</v>
      </c>
      <c r="G38" s="25">
        <v>137</v>
      </c>
      <c r="H38" s="31" t="s">
        <v>11</v>
      </c>
      <c r="I38" s="25" t="s">
        <v>5</v>
      </c>
      <c r="J38" s="25" t="s">
        <v>62</v>
      </c>
      <c r="K38" s="25" t="s">
        <v>14</v>
      </c>
      <c r="L38" s="25" t="s">
        <v>8</v>
      </c>
      <c r="M38" s="25" t="s">
        <v>137</v>
      </c>
    </row>
    <row r="39" spans="1:13" s="27" customFormat="1">
      <c r="A39" s="27" t="s">
        <v>89</v>
      </c>
      <c r="B39" s="27" t="s">
        <v>1</v>
      </c>
      <c r="C39" s="27" t="s">
        <v>2</v>
      </c>
      <c r="D39" s="27" t="s">
        <v>3</v>
      </c>
      <c r="E39" s="28">
        <v>45404</v>
      </c>
      <c r="F39" s="28">
        <v>45529</v>
      </c>
      <c r="G39" s="27">
        <v>125</v>
      </c>
      <c r="H39" s="31" t="s">
        <v>11</v>
      </c>
      <c r="I39" s="27" t="s">
        <v>12</v>
      </c>
      <c r="J39" s="27" t="s">
        <v>72</v>
      </c>
      <c r="K39" s="27" t="s">
        <v>27</v>
      </c>
      <c r="L39" s="27" t="s">
        <v>8</v>
      </c>
      <c r="M39" s="27" t="s">
        <v>137</v>
      </c>
    </row>
    <row r="40" spans="1:13" s="25" customFormat="1">
      <c r="A40" s="25" t="s">
        <v>90</v>
      </c>
      <c r="B40" s="25" t="s">
        <v>1</v>
      </c>
      <c r="C40" s="25" t="s">
        <v>2</v>
      </c>
      <c r="D40" s="25" t="s">
        <v>30</v>
      </c>
      <c r="E40" s="26">
        <v>45335</v>
      </c>
      <c r="F40" s="26">
        <v>45464</v>
      </c>
      <c r="G40" s="25">
        <v>129</v>
      </c>
      <c r="H40" s="31" t="s">
        <v>11</v>
      </c>
      <c r="I40" s="25" t="s">
        <v>5</v>
      </c>
      <c r="J40" s="25" t="s">
        <v>46</v>
      </c>
      <c r="K40" s="25" t="s">
        <v>47</v>
      </c>
      <c r="L40" s="25" t="s">
        <v>17</v>
      </c>
      <c r="M40" s="25" t="s">
        <v>137</v>
      </c>
    </row>
    <row r="41" spans="1:13" s="27" customFormat="1">
      <c r="A41" s="27" t="s">
        <v>91</v>
      </c>
      <c r="B41" s="27" t="s">
        <v>64</v>
      </c>
      <c r="C41" s="27" t="s">
        <v>20</v>
      </c>
      <c r="D41" s="27" t="s">
        <v>3</v>
      </c>
      <c r="E41" s="28">
        <v>45300</v>
      </c>
      <c r="F41" s="28">
        <v>45364</v>
      </c>
      <c r="G41" s="27">
        <v>64</v>
      </c>
      <c r="H41" s="32" t="s">
        <v>4</v>
      </c>
      <c r="I41" s="27" t="s">
        <v>12</v>
      </c>
      <c r="J41" s="27" t="s">
        <v>40</v>
      </c>
      <c r="K41" s="27" t="s">
        <v>7</v>
      </c>
      <c r="L41" s="27" t="s">
        <v>8</v>
      </c>
      <c r="M41" s="27" t="s">
        <v>138</v>
      </c>
    </row>
    <row r="42" spans="1:13" s="27" customFormat="1">
      <c r="A42" s="27" t="s">
        <v>92</v>
      </c>
      <c r="B42" s="27" t="s">
        <v>19</v>
      </c>
      <c r="C42" s="27" t="s">
        <v>20</v>
      </c>
      <c r="D42" s="27" t="s">
        <v>21</v>
      </c>
      <c r="E42" s="28">
        <v>45315</v>
      </c>
      <c r="F42" s="28">
        <v>45372</v>
      </c>
      <c r="G42" s="27">
        <v>57</v>
      </c>
      <c r="H42" s="32" t="s">
        <v>4</v>
      </c>
      <c r="I42" s="27" t="s">
        <v>5</v>
      </c>
      <c r="J42" s="27" t="s">
        <v>46</v>
      </c>
      <c r="K42" s="27" t="s">
        <v>47</v>
      </c>
      <c r="L42" s="27" t="s">
        <v>8</v>
      </c>
      <c r="M42" s="27" t="s">
        <v>138</v>
      </c>
    </row>
    <row r="43" spans="1:13" s="25" customFormat="1">
      <c r="A43" s="25" t="s">
        <v>93</v>
      </c>
      <c r="B43" s="25" t="s">
        <v>19</v>
      </c>
      <c r="C43" s="25" t="s">
        <v>20</v>
      </c>
      <c r="D43" s="25" t="s">
        <v>10</v>
      </c>
      <c r="E43" s="26">
        <v>45293</v>
      </c>
      <c r="F43" s="26">
        <v>45472</v>
      </c>
      <c r="G43" s="25">
        <v>179</v>
      </c>
      <c r="H43" s="31" t="s">
        <v>11</v>
      </c>
      <c r="I43" s="25" t="s">
        <v>5</v>
      </c>
      <c r="J43" s="25" t="s">
        <v>57</v>
      </c>
      <c r="K43" s="25" t="s">
        <v>7</v>
      </c>
      <c r="L43" s="25" t="s">
        <v>17</v>
      </c>
      <c r="M43" s="25" t="s">
        <v>137</v>
      </c>
    </row>
    <row r="44" spans="1:13" s="29" customFormat="1">
      <c r="A44" s="29" t="s">
        <v>94</v>
      </c>
      <c r="B44" s="29" t="s">
        <v>29</v>
      </c>
      <c r="C44" s="29" t="s">
        <v>20</v>
      </c>
      <c r="D44" s="29" t="s">
        <v>3</v>
      </c>
      <c r="E44" s="30">
        <v>45312</v>
      </c>
      <c r="F44" s="30">
        <v>45326</v>
      </c>
      <c r="G44" s="29">
        <v>14</v>
      </c>
      <c r="H44" s="33" t="s">
        <v>68</v>
      </c>
      <c r="I44" s="29" t="s">
        <v>5</v>
      </c>
      <c r="J44" s="29" t="s">
        <v>36</v>
      </c>
      <c r="K44" s="29" t="s">
        <v>7</v>
      </c>
      <c r="L44" s="29" t="s">
        <v>17</v>
      </c>
      <c r="M44" s="29" t="s">
        <v>139</v>
      </c>
    </row>
    <row r="45" spans="1:13" s="27" customFormat="1">
      <c r="A45" s="27" t="s">
        <v>95</v>
      </c>
      <c r="B45" s="27" t="s">
        <v>16</v>
      </c>
      <c r="C45" s="27" t="s">
        <v>2</v>
      </c>
      <c r="D45" s="27" t="s">
        <v>30</v>
      </c>
      <c r="E45" s="28">
        <v>45460</v>
      </c>
      <c r="F45" s="28">
        <v>45515</v>
      </c>
      <c r="G45" s="27">
        <v>55</v>
      </c>
      <c r="H45" s="32" t="s">
        <v>4</v>
      </c>
      <c r="I45" s="27" t="s">
        <v>5</v>
      </c>
      <c r="J45" s="27" t="s">
        <v>40</v>
      </c>
      <c r="K45" s="27" t="s">
        <v>32</v>
      </c>
      <c r="L45" s="27" t="s">
        <v>8</v>
      </c>
      <c r="M45" s="27" t="s">
        <v>138</v>
      </c>
    </row>
    <row r="46" spans="1:13" s="25" customFormat="1">
      <c r="A46" s="25" t="s">
        <v>96</v>
      </c>
      <c r="B46" s="25" t="s">
        <v>29</v>
      </c>
      <c r="C46" s="25" t="s">
        <v>20</v>
      </c>
      <c r="D46" s="25" t="s">
        <v>25</v>
      </c>
      <c r="E46" s="26">
        <v>45365</v>
      </c>
      <c r="F46" s="26">
        <v>45512</v>
      </c>
      <c r="G46" s="25">
        <v>147</v>
      </c>
      <c r="H46" s="31" t="s">
        <v>11</v>
      </c>
      <c r="I46" s="25" t="s">
        <v>5</v>
      </c>
      <c r="J46" s="25" t="s">
        <v>72</v>
      </c>
      <c r="K46" s="25" t="s">
        <v>14</v>
      </c>
      <c r="L46" s="25" t="s">
        <v>17</v>
      </c>
      <c r="M46" s="25" t="s">
        <v>137</v>
      </c>
    </row>
    <row r="47" spans="1:13" s="25" customFormat="1">
      <c r="A47" s="25" t="s">
        <v>97</v>
      </c>
      <c r="B47" s="25" t="s">
        <v>19</v>
      </c>
      <c r="C47" s="25" t="s">
        <v>20</v>
      </c>
      <c r="D47" s="25" t="s">
        <v>21</v>
      </c>
      <c r="E47" s="26">
        <v>45423</v>
      </c>
      <c r="F47" s="26">
        <v>45600</v>
      </c>
      <c r="G47" s="25">
        <v>177</v>
      </c>
      <c r="H47" s="31" t="s">
        <v>11</v>
      </c>
      <c r="I47" s="25" t="s">
        <v>5</v>
      </c>
      <c r="J47" s="25" t="s">
        <v>36</v>
      </c>
      <c r="K47" s="25" t="s">
        <v>7</v>
      </c>
      <c r="L47" s="25" t="s">
        <v>8</v>
      </c>
      <c r="M47" s="25" t="s">
        <v>137</v>
      </c>
    </row>
    <row r="48" spans="1:13" s="27" customFormat="1">
      <c r="A48" s="27" t="s">
        <v>98</v>
      </c>
      <c r="B48" s="27" t="s">
        <v>29</v>
      </c>
      <c r="C48" s="27" t="s">
        <v>20</v>
      </c>
      <c r="D48" s="27" t="s">
        <v>44</v>
      </c>
      <c r="E48" s="28">
        <v>45330</v>
      </c>
      <c r="F48" s="28">
        <v>45409</v>
      </c>
      <c r="G48" s="27">
        <v>79</v>
      </c>
      <c r="H48" s="32" t="s">
        <v>4</v>
      </c>
      <c r="I48" s="27" t="s">
        <v>12</v>
      </c>
      <c r="J48" s="27" t="s">
        <v>42</v>
      </c>
      <c r="K48" s="27" t="s">
        <v>14</v>
      </c>
      <c r="L48" s="27" t="s">
        <v>8</v>
      </c>
      <c r="M48" s="27" t="s">
        <v>138</v>
      </c>
    </row>
    <row r="49" spans="1:13" s="25" customFormat="1">
      <c r="A49" s="25" t="s">
        <v>99</v>
      </c>
      <c r="B49" s="25" t="s">
        <v>24</v>
      </c>
      <c r="C49" s="25" t="s">
        <v>20</v>
      </c>
      <c r="D49" s="25" t="s">
        <v>30</v>
      </c>
      <c r="E49" s="26">
        <v>45296</v>
      </c>
      <c r="F49" s="26">
        <v>45448</v>
      </c>
      <c r="G49" s="25">
        <v>152</v>
      </c>
      <c r="H49" s="31" t="s">
        <v>11</v>
      </c>
      <c r="I49" s="25" t="s">
        <v>5</v>
      </c>
      <c r="J49" s="25" t="s">
        <v>69</v>
      </c>
      <c r="K49" s="25" t="s">
        <v>47</v>
      </c>
      <c r="L49" s="25" t="s">
        <v>17</v>
      </c>
      <c r="M49" s="25" t="s">
        <v>137</v>
      </c>
    </row>
    <row r="50" spans="1:13" s="27" customFormat="1">
      <c r="A50" s="27" t="s">
        <v>100</v>
      </c>
      <c r="B50" s="27" t="s">
        <v>16</v>
      </c>
      <c r="C50" s="27" t="s">
        <v>2</v>
      </c>
      <c r="D50" s="27" t="s">
        <v>44</v>
      </c>
      <c r="E50" s="28">
        <v>45424</v>
      </c>
      <c r="F50" s="28">
        <v>45474</v>
      </c>
      <c r="G50" s="27">
        <v>50</v>
      </c>
      <c r="H50" s="32" t="s">
        <v>4</v>
      </c>
      <c r="I50" s="27" t="s">
        <v>5</v>
      </c>
      <c r="J50" s="27" t="s">
        <v>49</v>
      </c>
      <c r="K50" s="27" t="s">
        <v>47</v>
      </c>
      <c r="L50" s="27" t="s">
        <v>8</v>
      </c>
      <c r="M50" s="27" t="s">
        <v>138</v>
      </c>
    </row>
    <row r="51" spans="1:13" s="25" customFormat="1">
      <c r="A51" s="25" t="s">
        <v>101</v>
      </c>
      <c r="B51" s="25" t="s">
        <v>64</v>
      </c>
      <c r="C51" s="25" t="s">
        <v>20</v>
      </c>
      <c r="D51" s="25" t="s">
        <v>30</v>
      </c>
      <c r="E51" s="26">
        <v>45308</v>
      </c>
      <c r="F51" s="26">
        <v>45466</v>
      </c>
      <c r="G51" s="25">
        <v>158</v>
      </c>
      <c r="H51" s="31" t="s">
        <v>11</v>
      </c>
      <c r="I51" s="25" t="s">
        <v>5</v>
      </c>
      <c r="J51" s="25" t="s">
        <v>31</v>
      </c>
      <c r="K51" s="25" t="s">
        <v>32</v>
      </c>
      <c r="L51" s="25" t="s">
        <v>8</v>
      </c>
      <c r="M51" s="25" t="s">
        <v>137</v>
      </c>
    </row>
    <row r="52" spans="1:13" s="25" customFormat="1">
      <c r="A52" s="25" t="s">
        <v>102</v>
      </c>
      <c r="B52" s="25" t="s">
        <v>1</v>
      </c>
      <c r="C52" s="25" t="s">
        <v>2</v>
      </c>
      <c r="D52" s="25" t="s">
        <v>10</v>
      </c>
      <c r="E52" s="26">
        <v>45375</v>
      </c>
      <c r="F52" s="26">
        <v>45507</v>
      </c>
      <c r="G52" s="25">
        <v>132</v>
      </c>
      <c r="H52" s="31" t="s">
        <v>11</v>
      </c>
      <c r="I52" s="25" t="s">
        <v>5</v>
      </c>
      <c r="J52" s="25" t="s">
        <v>60</v>
      </c>
      <c r="K52" s="25" t="s">
        <v>32</v>
      </c>
      <c r="L52" s="25" t="s">
        <v>8</v>
      </c>
      <c r="M52" s="25" t="s">
        <v>137</v>
      </c>
    </row>
    <row r="53" spans="1:13" s="27" customFormat="1">
      <c r="A53" s="27" t="s">
        <v>103</v>
      </c>
      <c r="B53" s="27" t="s">
        <v>54</v>
      </c>
      <c r="C53" s="27" t="s">
        <v>55</v>
      </c>
      <c r="D53" s="27" t="s">
        <v>30</v>
      </c>
      <c r="E53" s="28">
        <v>45409</v>
      </c>
      <c r="F53" s="28">
        <v>45452</v>
      </c>
      <c r="G53" s="27">
        <v>43</v>
      </c>
      <c r="H53" s="32" t="s">
        <v>4</v>
      </c>
      <c r="I53" s="27" t="s">
        <v>5</v>
      </c>
      <c r="J53" s="27" t="s">
        <v>38</v>
      </c>
      <c r="K53" s="27" t="s">
        <v>14</v>
      </c>
      <c r="L53" s="27" t="s">
        <v>8</v>
      </c>
      <c r="M53" s="27" t="s">
        <v>138</v>
      </c>
    </row>
    <row r="54" spans="1:13" s="27" customFormat="1">
      <c r="A54" s="27" t="s">
        <v>104</v>
      </c>
      <c r="B54" s="27" t="s">
        <v>1</v>
      </c>
      <c r="C54" s="27" t="s">
        <v>2</v>
      </c>
      <c r="D54" s="27" t="s">
        <v>44</v>
      </c>
      <c r="E54" s="28">
        <v>45337</v>
      </c>
      <c r="F54" s="28">
        <v>45439</v>
      </c>
      <c r="G54" s="27">
        <v>102</v>
      </c>
      <c r="H54" s="31" t="s">
        <v>11</v>
      </c>
      <c r="I54" s="27" t="s">
        <v>5</v>
      </c>
      <c r="J54" s="27" t="s">
        <v>31</v>
      </c>
      <c r="K54" s="27" t="s">
        <v>47</v>
      </c>
      <c r="L54" s="27" t="s">
        <v>8</v>
      </c>
      <c r="M54" s="27" t="s">
        <v>138</v>
      </c>
    </row>
    <row r="55" spans="1:13" s="25" customFormat="1">
      <c r="A55" s="25" t="s">
        <v>105</v>
      </c>
      <c r="B55" s="25" t="s">
        <v>16</v>
      </c>
      <c r="C55" s="25" t="s">
        <v>2</v>
      </c>
      <c r="D55" s="25" t="s">
        <v>44</v>
      </c>
      <c r="E55" s="26">
        <v>45455</v>
      </c>
      <c r="F55" s="26">
        <v>45608</v>
      </c>
      <c r="G55" s="25">
        <v>153</v>
      </c>
      <c r="H55" s="31" t="s">
        <v>11</v>
      </c>
      <c r="I55" s="25" t="s">
        <v>5</v>
      </c>
      <c r="J55" s="25" t="s">
        <v>36</v>
      </c>
      <c r="K55" s="25" t="s">
        <v>27</v>
      </c>
      <c r="L55" s="25" t="s">
        <v>8</v>
      </c>
      <c r="M55" s="25" t="s">
        <v>137</v>
      </c>
    </row>
    <row r="56" spans="1:13" s="25" customFormat="1">
      <c r="A56" s="25" t="s">
        <v>106</v>
      </c>
      <c r="B56" s="25" t="s">
        <v>64</v>
      </c>
      <c r="C56" s="25" t="s">
        <v>20</v>
      </c>
      <c r="D56" s="25" t="s">
        <v>3</v>
      </c>
      <c r="E56" s="26">
        <v>45339</v>
      </c>
      <c r="F56" s="26">
        <v>45506</v>
      </c>
      <c r="G56" s="25">
        <v>167</v>
      </c>
      <c r="H56" s="31" t="s">
        <v>11</v>
      </c>
      <c r="I56" s="25" t="s">
        <v>45</v>
      </c>
      <c r="J56" s="25" t="s">
        <v>60</v>
      </c>
      <c r="K56" s="25" t="s">
        <v>7</v>
      </c>
      <c r="L56" s="25" t="s">
        <v>17</v>
      </c>
      <c r="M56" s="25" t="s">
        <v>137</v>
      </c>
    </row>
    <row r="57" spans="1:13" s="25" customFormat="1">
      <c r="A57" s="25" t="s">
        <v>107</v>
      </c>
      <c r="B57" s="25" t="s">
        <v>1</v>
      </c>
      <c r="C57" s="25" t="s">
        <v>2</v>
      </c>
      <c r="D57" s="25" t="s">
        <v>30</v>
      </c>
      <c r="E57" s="26">
        <v>45461</v>
      </c>
      <c r="F57" s="26">
        <v>45625</v>
      </c>
      <c r="G57" s="25">
        <v>164</v>
      </c>
      <c r="H57" s="31" t="s">
        <v>11</v>
      </c>
      <c r="I57" s="25" t="s">
        <v>12</v>
      </c>
      <c r="J57" s="25" t="s">
        <v>69</v>
      </c>
      <c r="K57" s="25" t="s">
        <v>32</v>
      </c>
      <c r="L57" s="25" t="s">
        <v>17</v>
      </c>
      <c r="M57" s="25" t="s">
        <v>137</v>
      </c>
    </row>
    <row r="58" spans="1:13" s="25" customFormat="1">
      <c r="A58" s="25" t="s">
        <v>108</v>
      </c>
      <c r="B58" s="25" t="s">
        <v>16</v>
      </c>
      <c r="C58" s="25" t="s">
        <v>2</v>
      </c>
      <c r="D58" s="25" t="s">
        <v>3</v>
      </c>
      <c r="E58" s="26">
        <v>45394</v>
      </c>
      <c r="F58" s="26">
        <v>45543</v>
      </c>
      <c r="G58" s="25">
        <v>149</v>
      </c>
      <c r="H58" s="31" t="s">
        <v>11</v>
      </c>
      <c r="I58" s="25" t="s">
        <v>5</v>
      </c>
      <c r="J58" s="25" t="s">
        <v>81</v>
      </c>
      <c r="K58" s="25" t="s">
        <v>32</v>
      </c>
      <c r="L58" s="25" t="s">
        <v>8</v>
      </c>
      <c r="M58" s="25" t="s">
        <v>137</v>
      </c>
    </row>
    <row r="59" spans="1:13" s="25" customFormat="1">
      <c r="A59" s="25" t="s">
        <v>109</v>
      </c>
      <c r="B59" s="25" t="s">
        <v>64</v>
      </c>
      <c r="C59" s="25" t="s">
        <v>20</v>
      </c>
      <c r="D59" s="25" t="s">
        <v>44</v>
      </c>
      <c r="E59" s="26">
        <v>45356</v>
      </c>
      <c r="F59" s="26">
        <v>45517</v>
      </c>
      <c r="G59" s="25">
        <v>161</v>
      </c>
      <c r="H59" s="31" t="s">
        <v>11</v>
      </c>
      <c r="I59" s="25" t="s">
        <v>12</v>
      </c>
      <c r="J59" s="25" t="s">
        <v>31</v>
      </c>
      <c r="K59" s="25" t="s">
        <v>47</v>
      </c>
      <c r="L59" s="25" t="s">
        <v>17</v>
      </c>
      <c r="M59" s="25" t="s">
        <v>137</v>
      </c>
    </row>
    <row r="60" spans="1:13" s="27" customFormat="1">
      <c r="A60" s="27" t="s">
        <v>110</v>
      </c>
      <c r="B60" s="27" t="s">
        <v>64</v>
      </c>
      <c r="C60" s="27" t="s">
        <v>20</v>
      </c>
      <c r="D60" s="27" t="s">
        <v>10</v>
      </c>
      <c r="E60" s="28">
        <v>45423</v>
      </c>
      <c r="F60" s="28">
        <v>45535</v>
      </c>
      <c r="G60" s="27">
        <v>112</v>
      </c>
      <c r="H60" s="31" t="s">
        <v>11</v>
      </c>
      <c r="I60" s="27" t="s">
        <v>5</v>
      </c>
      <c r="J60" s="27" t="s">
        <v>26</v>
      </c>
      <c r="K60" s="27" t="s">
        <v>7</v>
      </c>
      <c r="L60" s="27" t="s">
        <v>8</v>
      </c>
      <c r="M60" s="27" t="s">
        <v>137</v>
      </c>
    </row>
    <row r="61" spans="1:13" s="27" customFormat="1">
      <c r="A61" s="27" t="s">
        <v>111</v>
      </c>
      <c r="B61" s="27" t="s">
        <v>1</v>
      </c>
      <c r="C61" s="27" t="s">
        <v>2</v>
      </c>
      <c r="D61" s="27" t="s">
        <v>3</v>
      </c>
      <c r="E61" s="28">
        <v>45426</v>
      </c>
      <c r="F61" s="28">
        <v>45542</v>
      </c>
      <c r="G61" s="27">
        <v>116</v>
      </c>
      <c r="H61" s="31" t="s">
        <v>11</v>
      </c>
      <c r="I61" s="27" t="s">
        <v>12</v>
      </c>
      <c r="J61" s="27" t="s">
        <v>40</v>
      </c>
      <c r="K61" s="27" t="s">
        <v>14</v>
      </c>
      <c r="L61" s="27" t="s">
        <v>8</v>
      </c>
      <c r="M61" s="27" t="s">
        <v>137</v>
      </c>
    </row>
    <row r="62" spans="1:13" s="27" customFormat="1">
      <c r="A62" s="27" t="s">
        <v>112</v>
      </c>
      <c r="B62" s="27" t="s">
        <v>64</v>
      </c>
      <c r="C62" s="27" t="s">
        <v>20</v>
      </c>
      <c r="D62" s="27" t="s">
        <v>3</v>
      </c>
      <c r="E62" s="28">
        <v>45302</v>
      </c>
      <c r="F62" s="28">
        <v>45345</v>
      </c>
      <c r="G62" s="27">
        <v>43</v>
      </c>
      <c r="H62" s="32" t="s">
        <v>4</v>
      </c>
      <c r="I62" s="27" t="s">
        <v>5</v>
      </c>
      <c r="J62" s="27" t="s">
        <v>57</v>
      </c>
      <c r="K62" s="27" t="s">
        <v>47</v>
      </c>
      <c r="L62" s="27" t="s">
        <v>8</v>
      </c>
      <c r="M62" s="27" t="s">
        <v>138</v>
      </c>
    </row>
    <row r="63" spans="1:13" s="27" customFormat="1">
      <c r="A63" s="27" t="s">
        <v>113</v>
      </c>
      <c r="B63" s="27" t="s">
        <v>16</v>
      </c>
      <c r="C63" s="27" t="s">
        <v>2</v>
      </c>
      <c r="D63" s="27" t="s">
        <v>21</v>
      </c>
      <c r="E63" s="28">
        <v>45400</v>
      </c>
      <c r="F63" s="28">
        <v>45467</v>
      </c>
      <c r="G63" s="27">
        <v>67</v>
      </c>
      <c r="H63" s="32" t="s">
        <v>4</v>
      </c>
      <c r="I63" s="27" t="s">
        <v>5</v>
      </c>
      <c r="J63" s="27" t="s">
        <v>81</v>
      </c>
      <c r="K63" s="27" t="s">
        <v>32</v>
      </c>
      <c r="L63" s="27" t="s">
        <v>8</v>
      </c>
      <c r="M63" s="27" t="s">
        <v>138</v>
      </c>
    </row>
    <row r="64" spans="1:13" s="27" customFormat="1">
      <c r="A64" s="27" t="s">
        <v>114</v>
      </c>
      <c r="B64" s="27" t="s">
        <v>16</v>
      </c>
      <c r="C64" s="27" t="s">
        <v>2</v>
      </c>
      <c r="D64" s="27" t="s">
        <v>44</v>
      </c>
      <c r="E64" s="28">
        <v>45338</v>
      </c>
      <c r="F64" s="28">
        <v>45409</v>
      </c>
      <c r="G64" s="27">
        <v>71</v>
      </c>
      <c r="H64" s="32" t="s">
        <v>4</v>
      </c>
      <c r="I64" s="27" t="s">
        <v>12</v>
      </c>
      <c r="J64" s="27" t="s">
        <v>75</v>
      </c>
      <c r="K64" s="27" t="s">
        <v>47</v>
      </c>
      <c r="L64" s="27" t="s">
        <v>8</v>
      </c>
      <c r="M64" s="27" t="s">
        <v>138</v>
      </c>
    </row>
    <row r="65" spans="1:13" s="25" customFormat="1">
      <c r="A65" s="25" t="s">
        <v>115</v>
      </c>
      <c r="B65" s="25" t="s">
        <v>24</v>
      </c>
      <c r="C65" s="25" t="s">
        <v>20</v>
      </c>
      <c r="D65" s="25" t="s">
        <v>10</v>
      </c>
      <c r="E65" s="26">
        <v>45418</v>
      </c>
      <c r="F65" s="26">
        <v>45571</v>
      </c>
      <c r="G65" s="25">
        <v>153</v>
      </c>
      <c r="H65" s="31" t="s">
        <v>11</v>
      </c>
      <c r="I65" s="25" t="s">
        <v>5</v>
      </c>
      <c r="J65" s="25" t="s">
        <v>42</v>
      </c>
      <c r="K65" s="25" t="s">
        <v>32</v>
      </c>
      <c r="L65" s="25" t="s">
        <v>8</v>
      </c>
      <c r="M65" s="25" t="s">
        <v>137</v>
      </c>
    </row>
    <row r="66" spans="1:13" s="27" customFormat="1">
      <c r="A66" s="27" t="s">
        <v>116</v>
      </c>
      <c r="B66" s="27" t="s">
        <v>19</v>
      </c>
      <c r="C66" s="27" t="s">
        <v>20</v>
      </c>
      <c r="D66" s="27" t="s">
        <v>3</v>
      </c>
      <c r="E66" s="28">
        <v>45452</v>
      </c>
      <c r="F66" s="28">
        <v>45525</v>
      </c>
      <c r="G66" s="27">
        <v>73</v>
      </c>
      <c r="H66" s="32" t="s">
        <v>4</v>
      </c>
      <c r="I66" s="27" t="s">
        <v>45</v>
      </c>
      <c r="J66" s="27" t="s">
        <v>69</v>
      </c>
      <c r="K66" s="27" t="s">
        <v>32</v>
      </c>
      <c r="L66" s="27" t="s">
        <v>17</v>
      </c>
      <c r="M66" s="27" t="s">
        <v>138</v>
      </c>
    </row>
    <row r="67" spans="1:13" s="27" customFormat="1">
      <c r="A67" s="27" t="s">
        <v>117</v>
      </c>
      <c r="B67" s="27" t="s">
        <v>29</v>
      </c>
      <c r="C67" s="27" t="s">
        <v>20</v>
      </c>
      <c r="D67" s="27" t="s">
        <v>44</v>
      </c>
      <c r="E67" s="28">
        <v>45423</v>
      </c>
      <c r="F67" s="28">
        <v>45450</v>
      </c>
      <c r="G67" s="27">
        <v>27</v>
      </c>
      <c r="H67" s="33" t="s">
        <v>68</v>
      </c>
      <c r="I67" s="27" t="s">
        <v>5</v>
      </c>
      <c r="J67" s="27" t="s">
        <v>31</v>
      </c>
      <c r="K67" s="27" t="s">
        <v>47</v>
      </c>
      <c r="L67" s="27" t="s">
        <v>8</v>
      </c>
      <c r="M67" s="27" t="s">
        <v>138</v>
      </c>
    </row>
    <row r="68" spans="1:13" s="27" customFormat="1">
      <c r="A68" s="27" t="s">
        <v>118</v>
      </c>
      <c r="B68" s="27" t="s">
        <v>54</v>
      </c>
      <c r="C68" s="27" t="s">
        <v>55</v>
      </c>
      <c r="D68" s="27" t="s">
        <v>3</v>
      </c>
      <c r="E68" s="28">
        <v>45312</v>
      </c>
      <c r="F68" s="28">
        <v>45388</v>
      </c>
      <c r="G68" s="27">
        <v>76</v>
      </c>
      <c r="H68" s="32" t="s">
        <v>4</v>
      </c>
      <c r="I68" s="27" t="s">
        <v>5</v>
      </c>
      <c r="J68" s="27" t="s">
        <v>6</v>
      </c>
      <c r="K68" s="27" t="s">
        <v>27</v>
      </c>
      <c r="L68" s="27" t="s">
        <v>8</v>
      </c>
      <c r="M68" s="27" t="s">
        <v>138</v>
      </c>
    </row>
    <row r="69" spans="1:13" s="27" customFormat="1">
      <c r="A69" s="27" t="s">
        <v>119</v>
      </c>
      <c r="B69" s="27" t="s">
        <v>64</v>
      </c>
      <c r="C69" s="27" t="s">
        <v>20</v>
      </c>
      <c r="D69" s="27" t="s">
        <v>44</v>
      </c>
      <c r="E69" s="28">
        <v>45423</v>
      </c>
      <c r="F69" s="28">
        <v>45515</v>
      </c>
      <c r="G69" s="27">
        <v>92</v>
      </c>
      <c r="H69" s="31" t="s">
        <v>11</v>
      </c>
      <c r="I69" s="27" t="s">
        <v>5</v>
      </c>
      <c r="J69" s="27" t="s">
        <v>22</v>
      </c>
      <c r="K69" s="27" t="s">
        <v>27</v>
      </c>
      <c r="L69" s="27" t="s">
        <v>8</v>
      </c>
      <c r="M69" s="27" t="s">
        <v>138</v>
      </c>
    </row>
    <row r="70" spans="1:13" s="27" customFormat="1">
      <c r="A70" s="27" t="s">
        <v>120</v>
      </c>
      <c r="B70" s="27" t="s">
        <v>1</v>
      </c>
      <c r="C70" s="27" t="s">
        <v>2</v>
      </c>
      <c r="D70" s="27" t="s">
        <v>44</v>
      </c>
      <c r="E70" s="28">
        <v>45339</v>
      </c>
      <c r="F70" s="28">
        <v>45422</v>
      </c>
      <c r="G70" s="27">
        <v>83</v>
      </c>
      <c r="H70" s="32" t="s">
        <v>4</v>
      </c>
      <c r="I70" s="27" t="s">
        <v>12</v>
      </c>
      <c r="J70" s="27" t="s">
        <v>31</v>
      </c>
      <c r="K70" s="27" t="s">
        <v>32</v>
      </c>
      <c r="L70" s="27" t="s">
        <v>8</v>
      </c>
      <c r="M70" s="27" t="s">
        <v>138</v>
      </c>
    </row>
    <row r="71" spans="1:13" s="27" customFormat="1">
      <c r="A71" s="27" t="s">
        <v>121</v>
      </c>
      <c r="B71" s="27" t="s">
        <v>24</v>
      </c>
      <c r="C71" s="27" t="s">
        <v>20</v>
      </c>
      <c r="D71" s="27" t="s">
        <v>30</v>
      </c>
      <c r="E71" s="28">
        <v>45338</v>
      </c>
      <c r="F71" s="28">
        <v>45402</v>
      </c>
      <c r="G71" s="27">
        <v>64</v>
      </c>
      <c r="H71" s="32" t="s">
        <v>4</v>
      </c>
      <c r="I71" s="27" t="s">
        <v>5</v>
      </c>
      <c r="J71" s="27" t="s">
        <v>81</v>
      </c>
      <c r="K71" s="27" t="s">
        <v>27</v>
      </c>
      <c r="L71" s="27" t="s">
        <v>8</v>
      </c>
      <c r="M71" s="27" t="s">
        <v>138</v>
      </c>
    </row>
    <row r="72" spans="1:13" s="27" customFormat="1">
      <c r="A72" s="27" t="s">
        <v>122</v>
      </c>
      <c r="B72" s="27" t="s">
        <v>29</v>
      </c>
      <c r="C72" s="27" t="s">
        <v>20</v>
      </c>
      <c r="D72" s="27" t="s">
        <v>3</v>
      </c>
      <c r="E72" s="28">
        <v>45387</v>
      </c>
      <c r="F72" s="28">
        <v>45408</v>
      </c>
      <c r="G72" s="27">
        <v>21</v>
      </c>
      <c r="H72" s="33" t="s">
        <v>68</v>
      </c>
      <c r="I72" s="27" t="s">
        <v>5</v>
      </c>
      <c r="J72" s="27" t="s">
        <v>31</v>
      </c>
      <c r="K72" s="27" t="s">
        <v>32</v>
      </c>
      <c r="L72" s="27" t="s">
        <v>8</v>
      </c>
      <c r="M72" s="27" t="s">
        <v>138</v>
      </c>
    </row>
    <row r="73" spans="1:13" s="25" customFormat="1">
      <c r="A73" s="25" t="s">
        <v>123</v>
      </c>
      <c r="B73" s="25" t="s">
        <v>54</v>
      </c>
      <c r="C73" s="25" t="s">
        <v>55</v>
      </c>
      <c r="D73" s="25" t="s">
        <v>3</v>
      </c>
      <c r="E73" s="26">
        <v>45353</v>
      </c>
      <c r="F73" s="26">
        <v>45495</v>
      </c>
      <c r="G73" s="25">
        <v>142</v>
      </c>
      <c r="H73" s="31" t="s">
        <v>11</v>
      </c>
      <c r="I73" s="25" t="s">
        <v>45</v>
      </c>
      <c r="J73" s="25" t="s">
        <v>46</v>
      </c>
      <c r="K73" s="25" t="s">
        <v>32</v>
      </c>
      <c r="L73" s="25" t="s">
        <v>8</v>
      </c>
      <c r="M73" s="25" t="s">
        <v>137</v>
      </c>
    </row>
    <row r="74" spans="1:13" s="25" customFormat="1">
      <c r="A74" s="25" t="s">
        <v>124</v>
      </c>
      <c r="B74" s="25" t="s">
        <v>29</v>
      </c>
      <c r="C74" s="25" t="s">
        <v>20</v>
      </c>
      <c r="D74" s="25" t="s">
        <v>21</v>
      </c>
      <c r="E74" s="26">
        <v>45325</v>
      </c>
      <c r="F74" s="26">
        <v>45481</v>
      </c>
      <c r="G74" s="25">
        <v>156</v>
      </c>
      <c r="H74" s="31" t="s">
        <v>11</v>
      </c>
      <c r="I74" s="25" t="s">
        <v>5</v>
      </c>
      <c r="J74" s="25" t="s">
        <v>72</v>
      </c>
      <c r="K74" s="25" t="s">
        <v>14</v>
      </c>
      <c r="L74" s="25" t="s">
        <v>17</v>
      </c>
      <c r="M74" s="25" t="s">
        <v>137</v>
      </c>
    </row>
    <row r="75" spans="1:13" s="27" customFormat="1">
      <c r="A75" s="27" t="s">
        <v>125</v>
      </c>
      <c r="B75" s="27" t="s">
        <v>64</v>
      </c>
      <c r="C75" s="27" t="s">
        <v>20</v>
      </c>
      <c r="D75" s="27" t="s">
        <v>44</v>
      </c>
      <c r="E75" s="28">
        <v>45335</v>
      </c>
      <c r="F75" s="28">
        <v>45413</v>
      </c>
      <c r="G75" s="27">
        <v>78</v>
      </c>
      <c r="H75" s="32" t="s">
        <v>4</v>
      </c>
      <c r="I75" s="27" t="s">
        <v>5</v>
      </c>
      <c r="J75" s="27" t="s">
        <v>22</v>
      </c>
      <c r="K75" s="27" t="s">
        <v>27</v>
      </c>
      <c r="L75" s="27" t="s">
        <v>8</v>
      </c>
      <c r="M75" s="27" t="s">
        <v>138</v>
      </c>
    </row>
    <row r="76" spans="1:13" s="27" customFormat="1">
      <c r="A76" s="27" t="s">
        <v>126</v>
      </c>
      <c r="B76" s="27" t="s">
        <v>64</v>
      </c>
      <c r="C76" s="27" t="s">
        <v>20</v>
      </c>
      <c r="D76" s="27" t="s">
        <v>44</v>
      </c>
      <c r="E76" s="28">
        <v>45379</v>
      </c>
      <c r="F76" s="28">
        <v>45482</v>
      </c>
      <c r="G76" s="27">
        <v>103</v>
      </c>
      <c r="H76" s="31" t="s">
        <v>11</v>
      </c>
      <c r="I76" s="27" t="s">
        <v>5</v>
      </c>
      <c r="J76" s="27" t="s">
        <v>52</v>
      </c>
      <c r="K76" s="27" t="s">
        <v>14</v>
      </c>
      <c r="L76" s="27" t="s">
        <v>17</v>
      </c>
      <c r="M76" s="27" t="s">
        <v>138</v>
      </c>
    </row>
    <row r="77" spans="1:13" s="27" customFormat="1">
      <c r="A77" s="27" t="s">
        <v>127</v>
      </c>
      <c r="B77" s="27" t="s">
        <v>1</v>
      </c>
      <c r="C77" s="27" t="s">
        <v>2</v>
      </c>
      <c r="D77" s="27" t="s">
        <v>10</v>
      </c>
      <c r="E77" s="28">
        <v>45349</v>
      </c>
      <c r="F77" s="28">
        <v>45371</v>
      </c>
      <c r="G77" s="27">
        <v>22</v>
      </c>
      <c r="H77" s="33" t="s">
        <v>68</v>
      </c>
      <c r="I77" s="27" t="s">
        <v>12</v>
      </c>
      <c r="J77" s="27" t="s">
        <v>6</v>
      </c>
      <c r="K77" s="27" t="s">
        <v>47</v>
      </c>
      <c r="L77" s="27" t="s">
        <v>8</v>
      </c>
      <c r="M77" s="27" t="s">
        <v>138</v>
      </c>
    </row>
    <row r="78" spans="1:13" s="25" customFormat="1">
      <c r="A78" s="25" t="s">
        <v>128</v>
      </c>
      <c r="B78" s="25" t="s">
        <v>19</v>
      </c>
      <c r="C78" s="25" t="s">
        <v>20</v>
      </c>
      <c r="D78" s="25" t="s">
        <v>44</v>
      </c>
      <c r="E78" s="26">
        <v>45473</v>
      </c>
      <c r="F78" s="26">
        <v>45611</v>
      </c>
      <c r="G78" s="25">
        <v>138</v>
      </c>
      <c r="H78" s="31" t="s">
        <v>11</v>
      </c>
      <c r="I78" s="25" t="s">
        <v>5</v>
      </c>
      <c r="J78" s="25" t="s">
        <v>13</v>
      </c>
      <c r="K78" s="25" t="s">
        <v>14</v>
      </c>
      <c r="L78" s="25" t="s">
        <v>8</v>
      </c>
      <c r="M78" s="25" t="s">
        <v>137</v>
      </c>
    </row>
    <row r="79" spans="1:13" s="27" customFormat="1">
      <c r="A79" s="27" t="s">
        <v>129</v>
      </c>
      <c r="B79" s="27" t="s">
        <v>24</v>
      </c>
      <c r="C79" s="27" t="s">
        <v>20</v>
      </c>
      <c r="D79" s="27" t="s">
        <v>21</v>
      </c>
      <c r="E79" s="28">
        <v>45428</v>
      </c>
      <c r="F79" s="28">
        <v>45501</v>
      </c>
      <c r="G79" s="27">
        <v>73</v>
      </c>
      <c r="H79" s="32" t="s">
        <v>4</v>
      </c>
      <c r="I79" s="27" t="s">
        <v>5</v>
      </c>
      <c r="J79" s="27" t="s">
        <v>42</v>
      </c>
      <c r="K79" s="27" t="s">
        <v>7</v>
      </c>
      <c r="L79" s="27" t="s">
        <v>8</v>
      </c>
      <c r="M79" s="27" t="s">
        <v>138</v>
      </c>
    </row>
    <row r="80" spans="1:13" s="27" customFormat="1">
      <c r="A80" s="27" t="s">
        <v>130</v>
      </c>
      <c r="B80" s="27" t="s">
        <v>19</v>
      </c>
      <c r="C80" s="27" t="s">
        <v>20</v>
      </c>
      <c r="D80" s="27" t="s">
        <v>25</v>
      </c>
      <c r="E80" s="28">
        <v>45344</v>
      </c>
      <c r="F80" s="28">
        <v>45394</v>
      </c>
      <c r="G80" s="27">
        <v>50</v>
      </c>
      <c r="H80" s="32" t="s">
        <v>4</v>
      </c>
      <c r="I80" s="27" t="s">
        <v>5</v>
      </c>
      <c r="J80" s="27" t="s">
        <v>79</v>
      </c>
      <c r="K80" s="27" t="s">
        <v>32</v>
      </c>
      <c r="L80" s="27" t="s">
        <v>17</v>
      </c>
      <c r="M80" s="27" t="s">
        <v>138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5C1B-37E2-4649-88A0-6F9CD16F5D9B}">
  <dimension ref="A1:E10"/>
  <sheetViews>
    <sheetView tabSelected="1" workbookViewId="0"/>
  </sheetViews>
  <sheetFormatPr defaultRowHeight="15"/>
  <cols>
    <col min="1" max="1" width="30.42578125" bestFit="1" customWidth="1"/>
    <col min="2" max="2" width="16.5703125" bestFit="1" customWidth="1"/>
    <col min="3" max="3" width="13.28515625" bestFit="1" customWidth="1"/>
    <col min="4" max="4" width="16.42578125" bestFit="1" customWidth="1"/>
    <col min="5" max="5" width="13.5703125" bestFit="1" customWidth="1"/>
  </cols>
  <sheetData>
    <row r="1" spans="1:5">
      <c r="A1" s="18" t="s">
        <v>162</v>
      </c>
      <c r="B1" t="s">
        <v>174</v>
      </c>
      <c r="C1" t="s">
        <v>153</v>
      </c>
      <c r="D1" t="s">
        <v>172</v>
      </c>
      <c r="E1" t="s">
        <v>173</v>
      </c>
    </row>
    <row r="2" spans="1:5">
      <c r="A2" s="19" t="s">
        <v>1</v>
      </c>
      <c r="B2" s="20">
        <v>1</v>
      </c>
      <c r="C2" s="20">
        <v>9</v>
      </c>
      <c r="D2" s="20">
        <v>111.44444444444444</v>
      </c>
      <c r="E2" s="71">
        <v>0.44444444444444442</v>
      </c>
    </row>
    <row r="3" spans="1:5">
      <c r="A3" s="19" t="s">
        <v>34</v>
      </c>
      <c r="B3" s="20"/>
      <c r="C3" s="20">
        <v>6</v>
      </c>
      <c r="D3" s="20">
        <v>112.5</v>
      </c>
      <c r="E3" s="71">
        <v>0.33333333333333331</v>
      </c>
    </row>
    <row r="4" spans="1:5">
      <c r="A4" s="19" t="s">
        <v>54</v>
      </c>
      <c r="B4" s="20">
        <v>1</v>
      </c>
      <c r="C4" s="20">
        <v>6</v>
      </c>
      <c r="D4" s="20">
        <v>83.333333333333329</v>
      </c>
      <c r="E4" s="71">
        <v>0.16666666666666666</v>
      </c>
    </row>
    <row r="5" spans="1:5">
      <c r="A5" s="19" t="s">
        <v>64</v>
      </c>
      <c r="B5" s="20"/>
      <c r="C5" s="20">
        <v>11</v>
      </c>
      <c r="D5" s="20">
        <v>117.27272727272727</v>
      </c>
      <c r="E5" s="71">
        <v>0.45454545454545453</v>
      </c>
    </row>
    <row r="6" spans="1:5">
      <c r="A6" s="19" t="s">
        <v>24</v>
      </c>
      <c r="B6" s="20"/>
      <c r="C6" s="20">
        <v>7</v>
      </c>
      <c r="D6" s="20">
        <v>124.85714285714286</v>
      </c>
      <c r="E6" s="71">
        <v>0.5714285714285714</v>
      </c>
    </row>
    <row r="7" spans="1:5">
      <c r="A7" s="19" t="s">
        <v>29</v>
      </c>
      <c r="B7" s="20">
        <v>3</v>
      </c>
      <c r="C7" s="20">
        <v>13</v>
      </c>
      <c r="D7" s="20">
        <v>91.15384615384616</v>
      </c>
      <c r="E7" s="71">
        <v>0.30769230769230771</v>
      </c>
    </row>
    <row r="8" spans="1:5">
      <c r="A8" s="19" t="s">
        <v>16</v>
      </c>
      <c r="B8" s="20">
        <v>2</v>
      </c>
      <c r="C8" s="20">
        <v>15</v>
      </c>
      <c r="D8" s="20">
        <v>94.933333333333337</v>
      </c>
      <c r="E8" s="71">
        <v>0.33333333333333331</v>
      </c>
    </row>
    <row r="9" spans="1:5">
      <c r="A9" s="19" t="s">
        <v>19</v>
      </c>
      <c r="B9" s="20">
        <v>1</v>
      </c>
      <c r="C9" s="20">
        <v>12</v>
      </c>
      <c r="D9" s="20">
        <v>113.5</v>
      </c>
      <c r="E9" s="71">
        <v>0.5</v>
      </c>
    </row>
    <row r="10" spans="1:5">
      <c r="A10" s="19" t="s">
        <v>163</v>
      </c>
      <c r="B10" s="20">
        <v>8</v>
      </c>
      <c r="C10" s="20">
        <v>79</v>
      </c>
      <c r="D10" s="20">
        <v>105.22784810126582</v>
      </c>
      <c r="E10" s="71">
        <v>0.39240506329113922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BBFDB-C04B-4F6E-9BE4-3ECCB7A6DE78}">
  <sheetPr codeName="Sheet3"/>
  <dimension ref="A1:H8"/>
  <sheetViews>
    <sheetView workbookViewId="0">
      <selection activeCell="B1" sqref="B1:B8"/>
    </sheetView>
  </sheetViews>
  <sheetFormatPr defaultRowHeight="15"/>
  <cols>
    <col min="1" max="1" width="19.140625" bestFit="1" customWidth="1"/>
    <col min="5" max="5" width="17.7109375" bestFit="1" customWidth="1"/>
    <col min="7" max="7" width="28.5703125" bestFit="1" customWidth="1"/>
  </cols>
  <sheetData>
    <row r="1" spans="1:8">
      <c r="A1" s="17" t="s">
        <v>153</v>
      </c>
      <c r="B1">
        <f>COUNTA('PQ Output'!A2:A80)</f>
        <v>79</v>
      </c>
      <c r="D1" s="17" t="s">
        <v>141</v>
      </c>
      <c r="E1" s="17" t="s">
        <v>161</v>
      </c>
      <c r="G1" s="17" t="s">
        <v>140</v>
      </c>
      <c r="H1" s="17" t="s">
        <v>143</v>
      </c>
    </row>
    <row r="2" spans="1:8">
      <c r="A2" s="17" t="s">
        <v>154</v>
      </c>
      <c r="B2">
        <f>AVERAGE('PQ Output'!G2:G80)</f>
        <v>105.22784810126582</v>
      </c>
      <c r="D2" t="s">
        <v>20</v>
      </c>
      <c r="E2">
        <f>AVERAGEIF('PQ Output'!C2:C80,"North",'PQ Output'!G2:G80)</f>
        <v>109.55813953488372</v>
      </c>
      <c r="G2" t="s">
        <v>64</v>
      </c>
      <c r="H2" t="str">
        <f>VLOOKUP(G2, 'Trust Lookup'!A:D, 4, FALSE)</f>
        <v>Leeds</v>
      </c>
    </row>
    <row r="3" spans="1:8">
      <c r="A3" s="17" t="s">
        <v>158</v>
      </c>
      <c r="B3">
        <f>MAX('PQ Output'!G2:G80)</f>
        <v>179</v>
      </c>
      <c r="D3" t="s">
        <v>160</v>
      </c>
      <c r="E3">
        <f>AVERAGEIF('PQ Output'!C2:C80,"Midlands",'PQ Output'!G2:G80)</f>
        <v>101.125</v>
      </c>
      <c r="G3" t="s">
        <v>54</v>
      </c>
      <c r="H3" t="str">
        <f>VLOOKUP(G3, 'Trust Lookup'!A:D, 4, FALSE)</f>
        <v>London</v>
      </c>
    </row>
    <row r="4" spans="1:8">
      <c r="A4" s="17" t="s">
        <v>159</v>
      </c>
      <c r="B4">
        <f>MIN('PQ Output'!G2:G80)</f>
        <v>14</v>
      </c>
      <c r="D4" t="s">
        <v>55</v>
      </c>
      <c r="E4">
        <f>AVERAGEIF('PQ Output'!C2:C80,"London",'PQ Output'!G2:G80)</f>
        <v>83.333333333333329</v>
      </c>
      <c r="G4" t="s">
        <v>34</v>
      </c>
      <c r="H4" t="str">
        <f>VLOOKUP(G4, 'Trust Lookup'!A:D, 4, FALSE)</f>
        <v>Bristol</v>
      </c>
    </row>
    <row r="5" spans="1:8">
      <c r="A5" s="17" t="s">
        <v>155</v>
      </c>
      <c r="B5">
        <f>COUNTIF('PQ Output'!I2:I80, "Seen")</f>
        <v>57</v>
      </c>
      <c r="D5" t="s">
        <v>35</v>
      </c>
      <c r="E5">
        <f>AVERAGEIF('PQ Output'!C2:C80,"South",'PQ Output'!G2:G80)</f>
        <v>112.5</v>
      </c>
    </row>
    <row r="6" spans="1:8">
      <c r="A6" s="17" t="s">
        <v>156</v>
      </c>
      <c r="B6">
        <f>COUNTIF('PQ Output'!I2:I80, "Waiting")</f>
        <v>16</v>
      </c>
    </row>
    <row r="7" spans="1:8">
      <c r="A7" s="17" t="s">
        <v>45</v>
      </c>
      <c r="B7">
        <f>COUNTIF('PQ Output'!I2:I80, "Cancelled")</f>
        <v>6</v>
      </c>
    </row>
    <row r="8" spans="1:8">
      <c r="A8" s="17" t="s">
        <v>157</v>
      </c>
      <c r="B8">
        <f>COUNTIF('PQ Output'!G2:G80, "&gt;126")</f>
        <v>31</v>
      </c>
    </row>
  </sheetData>
  <conditionalFormatting sqref="B1:B8">
    <cfRule type="colorScale" priority="2">
      <colorScale>
        <cfvo type="min"/>
        <cfvo type="max"/>
        <color rgb="FFFCFCFF"/>
        <color rgb="FF63BE7B"/>
      </colorScale>
    </cfRule>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BE1F2-A8BA-4367-BE07-C97BFCEA736C}">
  <sheetPr codeName="Sheet4"/>
  <dimension ref="A1:E32"/>
  <sheetViews>
    <sheetView topLeftCell="A11" workbookViewId="0">
      <selection activeCell="B29" sqref="B29"/>
    </sheetView>
  </sheetViews>
  <sheetFormatPr defaultRowHeight="15"/>
  <cols>
    <col min="1" max="1" width="30.42578125" bestFit="1" customWidth="1"/>
    <col min="2" max="2" width="16.28515625" bestFit="1" customWidth="1"/>
    <col min="3" max="3" width="5.42578125" bestFit="1" customWidth="1"/>
    <col min="4" max="4" width="8" bestFit="1" customWidth="1"/>
    <col min="5" max="5" width="11.28515625" bestFit="1" customWidth="1"/>
  </cols>
  <sheetData>
    <row r="1" spans="1:5">
      <c r="A1" s="18" t="s">
        <v>162</v>
      </c>
      <c r="B1" t="s">
        <v>164</v>
      </c>
    </row>
    <row r="2" spans="1:5">
      <c r="A2" s="19" t="s">
        <v>25</v>
      </c>
      <c r="B2" s="21">
        <v>118.33333333333333</v>
      </c>
    </row>
    <row r="3" spans="1:5">
      <c r="A3" s="19" t="s">
        <v>10</v>
      </c>
      <c r="B3" s="21">
        <v>125</v>
      </c>
    </row>
    <row r="4" spans="1:5">
      <c r="A4" s="19" t="s">
        <v>21</v>
      </c>
      <c r="B4" s="21">
        <v>97.63636363636364</v>
      </c>
    </row>
    <row r="5" spans="1:5">
      <c r="A5" s="19" t="s">
        <v>30</v>
      </c>
      <c r="B5" s="21">
        <v>101.30769230769231</v>
      </c>
    </row>
    <row r="6" spans="1:5">
      <c r="A6" s="19" t="s">
        <v>44</v>
      </c>
      <c r="B6" s="21">
        <v>97.8125</v>
      </c>
    </row>
    <row r="7" spans="1:5">
      <c r="A7" s="19" t="s">
        <v>3</v>
      </c>
      <c r="B7" s="21">
        <v>98.058823529411768</v>
      </c>
    </row>
    <row r="8" spans="1:5">
      <c r="A8" s="19" t="s">
        <v>163</v>
      </c>
      <c r="B8" s="21">
        <v>105.22784810126582</v>
      </c>
    </row>
    <row r="12" spans="1:5">
      <c r="A12" s="18" t="s">
        <v>166</v>
      </c>
      <c r="B12" s="18" t="s">
        <v>165</v>
      </c>
    </row>
    <row r="13" spans="1:5">
      <c r="A13" s="18" t="s">
        <v>162</v>
      </c>
      <c r="B13" t="s">
        <v>45</v>
      </c>
      <c r="C13" t="s">
        <v>5</v>
      </c>
      <c r="D13" t="s">
        <v>12</v>
      </c>
      <c r="E13" t="s">
        <v>163</v>
      </c>
    </row>
    <row r="14" spans="1:5">
      <c r="A14" s="19" t="s">
        <v>1</v>
      </c>
      <c r="B14" s="20"/>
      <c r="C14" s="20">
        <v>3</v>
      </c>
      <c r="D14" s="20">
        <v>6</v>
      </c>
      <c r="E14" s="20">
        <v>9</v>
      </c>
    </row>
    <row r="15" spans="1:5">
      <c r="A15" s="19" t="s">
        <v>34</v>
      </c>
      <c r="B15" s="20"/>
      <c r="C15" s="20">
        <v>5</v>
      </c>
      <c r="D15" s="20">
        <v>1</v>
      </c>
      <c r="E15" s="20">
        <v>6</v>
      </c>
    </row>
    <row r="16" spans="1:5">
      <c r="A16" s="19" t="s">
        <v>54</v>
      </c>
      <c r="B16" s="20">
        <v>1</v>
      </c>
      <c r="C16" s="20">
        <v>4</v>
      </c>
      <c r="D16" s="20">
        <v>1</v>
      </c>
      <c r="E16" s="20">
        <v>6</v>
      </c>
    </row>
    <row r="17" spans="1:5">
      <c r="A17" s="19" t="s">
        <v>64</v>
      </c>
      <c r="B17" s="20">
        <v>1</v>
      </c>
      <c r="C17" s="20">
        <v>7</v>
      </c>
      <c r="D17" s="20">
        <v>3</v>
      </c>
      <c r="E17" s="20">
        <v>11</v>
      </c>
    </row>
    <row r="18" spans="1:5">
      <c r="A18" s="19" t="s">
        <v>24</v>
      </c>
      <c r="B18" s="20"/>
      <c r="C18" s="20">
        <v>6</v>
      </c>
      <c r="D18" s="20">
        <v>1</v>
      </c>
      <c r="E18" s="20">
        <v>7</v>
      </c>
    </row>
    <row r="19" spans="1:5">
      <c r="A19" s="19" t="s">
        <v>29</v>
      </c>
      <c r="B19" s="20"/>
      <c r="C19" s="20">
        <v>11</v>
      </c>
      <c r="D19" s="20">
        <v>2</v>
      </c>
      <c r="E19" s="20">
        <v>13</v>
      </c>
    </row>
    <row r="20" spans="1:5">
      <c r="A20" s="19" t="s">
        <v>16</v>
      </c>
      <c r="B20" s="20">
        <v>2</v>
      </c>
      <c r="C20" s="20">
        <v>11</v>
      </c>
      <c r="D20" s="20">
        <v>2</v>
      </c>
      <c r="E20" s="20">
        <v>15</v>
      </c>
    </row>
    <row r="21" spans="1:5">
      <c r="A21" s="19" t="s">
        <v>19</v>
      </c>
      <c r="B21" s="20">
        <v>2</v>
      </c>
      <c r="C21" s="20">
        <v>10</v>
      </c>
      <c r="D21" s="20"/>
      <c r="E21" s="20">
        <v>12</v>
      </c>
    </row>
    <row r="22" spans="1:5">
      <c r="A22" s="19" t="s">
        <v>163</v>
      </c>
      <c r="B22" s="20">
        <v>6</v>
      </c>
      <c r="C22" s="20">
        <v>57</v>
      </c>
      <c r="D22" s="20">
        <v>16</v>
      </c>
      <c r="E22" s="20">
        <v>79</v>
      </c>
    </row>
    <row r="26" spans="1:5">
      <c r="A26" s="18" t="s">
        <v>166</v>
      </c>
      <c r="B26" s="18" t="s">
        <v>165</v>
      </c>
    </row>
    <row r="27" spans="1:5">
      <c r="A27" s="18" t="s">
        <v>162</v>
      </c>
      <c r="B27" t="s">
        <v>68</v>
      </c>
      <c r="C27" t="s">
        <v>11</v>
      </c>
      <c r="D27" t="s">
        <v>4</v>
      </c>
      <c r="E27" t="s">
        <v>163</v>
      </c>
    </row>
    <row r="28" spans="1:5">
      <c r="A28" s="19" t="s">
        <v>55</v>
      </c>
      <c r="B28" s="20">
        <v>1</v>
      </c>
      <c r="C28" s="20">
        <v>2</v>
      </c>
      <c r="D28" s="20">
        <v>3</v>
      </c>
      <c r="E28" s="20">
        <v>6</v>
      </c>
    </row>
    <row r="29" spans="1:5">
      <c r="A29" s="19" t="s">
        <v>2</v>
      </c>
      <c r="B29" s="20">
        <v>3</v>
      </c>
      <c r="C29" s="20">
        <v>14</v>
      </c>
      <c r="D29" s="20">
        <v>7</v>
      </c>
      <c r="E29" s="20">
        <v>24</v>
      </c>
    </row>
    <row r="30" spans="1:5">
      <c r="A30" s="19" t="s">
        <v>20</v>
      </c>
      <c r="B30" s="20">
        <v>4</v>
      </c>
      <c r="C30" s="20">
        <v>27</v>
      </c>
      <c r="D30" s="20">
        <v>12</v>
      </c>
      <c r="E30" s="20">
        <v>43</v>
      </c>
    </row>
    <row r="31" spans="1:5">
      <c r="A31" s="19" t="s">
        <v>35</v>
      </c>
      <c r="B31" s="20"/>
      <c r="C31" s="20">
        <v>5</v>
      </c>
      <c r="D31" s="20">
        <v>1</v>
      </c>
      <c r="E31" s="20">
        <v>6</v>
      </c>
    </row>
    <row r="32" spans="1:5">
      <c r="A32" s="19" t="s">
        <v>163</v>
      </c>
      <c r="B32" s="20">
        <v>8</v>
      </c>
      <c r="C32" s="20">
        <v>48</v>
      </c>
      <c r="D32" s="20">
        <v>23</v>
      </c>
      <c r="E32" s="20">
        <v>79</v>
      </c>
    </row>
  </sheetData>
  <pageMargins left="0.7" right="0.7" top="0.75" bottom="0.75" header="0.3" footer="0.3"/>
  <pageSetup paperSize="9" orientation="portrait" r:id="rId4"/>
  <drawing r:id="rId5"/>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44F2-919F-4135-AEA9-122C8D73668A}">
  <sheetPr codeName="Sheet5"/>
  <dimension ref="A1:Q8"/>
  <sheetViews>
    <sheetView showGridLines="0" workbookViewId="0">
      <selection activeCell="T15" sqref="T15"/>
    </sheetView>
  </sheetViews>
  <sheetFormatPr defaultRowHeight="15"/>
  <cols>
    <col min="1" max="16384" width="9.140625" style="22"/>
  </cols>
  <sheetData>
    <row r="1" spans="1:17" s="23" customFormat="1" ht="15" customHeight="1">
      <c r="A1" s="70" t="s">
        <v>167</v>
      </c>
      <c r="B1" s="70"/>
      <c r="C1" s="70"/>
      <c r="D1" s="70"/>
      <c r="E1" s="70"/>
      <c r="F1" s="70"/>
      <c r="G1" s="70"/>
      <c r="H1" s="70"/>
      <c r="I1" s="70"/>
      <c r="J1" s="70"/>
      <c r="K1" s="70"/>
      <c r="L1" s="70"/>
      <c r="M1" s="70"/>
      <c r="N1" s="70"/>
      <c r="O1" s="70"/>
      <c r="P1" s="70"/>
      <c r="Q1" s="70"/>
    </row>
    <row r="2" spans="1:17" s="23" customFormat="1">
      <c r="A2" s="70"/>
      <c r="B2" s="70"/>
      <c r="C2" s="70"/>
      <c r="D2" s="70"/>
      <c r="E2" s="70"/>
      <c r="F2" s="70"/>
      <c r="G2" s="70"/>
      <c r="H2" s="70"/>
      <c r="I2" s="70"/>
      <c r="J2" s="70"/>
      <c r="K2" s="70"/>
      <c r="L2" s="70"/>
      <c r="M2" s="70"/>
      <c r="N2" s="70"/>
      <c r="O2" s="70"/>
      <c r="P2" s="70"/>
      <c r="Q2" s="70"/>
    </row>
    <row r="3" spans="1:17" s="23" customFormat="1">
      <c r="A3" s="70"/>
      <c r="B3" s="70"/>
      <c r="C3" s="70"/>
      <c r="D3" s="70"/>
      <c r="E3" s="70"/>
      <c r="F3" s="70"/>
      <c r="G3" s="70"/>
      <c r="H3" s="70"/>
      <c r="I3" s="70"/>
      <c r="J3" s="70"/>
      <c r="K3" s="70"/>
      <c r="L3" s="70"/>
      <c r="M3" s="70"/>
      <c r="N3" s="70"/>
      <c r="O3" s="70"/>
      <c r="P3" s="70"/>
      <c r="Q3" s="70"/>
    </row>
    <row r="4" spans="1:17" ht="15.75" thickBot="1"/>
    <row r="5" spans="1:17" ht="30.75" customHeight="1" thickTop="1">
      <c r="B5" s="34" t="s">
        <v>168</v>
      </c>
      <c r="C5" s="35"/>
      <c r="D5" s="36"/>
      <c r="F5" s="43" t="s">
        <v>169</v>
      </c>
      <c r="G5" s="44"/>
      <c r="H5" s="45"/>
      <c r="J5" s="52" t="s">
        <v>170</v>
      </c>
      <c r="K5" s="53"/>
      <c r="L5" s="54"/>
      <c r="N5" s="61" t="s">
        <v>171</v>
      </c>
      <c r="O5" s="62"/>
      <c r="P5" s="63"/>
    </row>
    <row r="6" spans="1:17">
      <c r="B6" s="37"/>
      <c r="C6" s="38"/>
      <c r="D6" s="39"/>
      <c r="F6" s="46"/>
      <c r="G6" s="47"/>
      <c r="H6" s="48"/>
      <c r="J6" s="55"/>
      <c r="K6" s="56"/>
      <c r="L6" s="57"/>
      <c r="N6" s="64"/>
      <c r="O6" s="65"/>
      <c r="P6" s="66"/>
    </row>
    <row r="7" spans="1:17" ht="25.5" customHeight="1" thickBot="1">
      <c r="B7" s="40"/>
      <c r="C7" s="41"/>
      <c r="D7" s="42"/>
      <c r="F7" s="49"/>
      <c r="G7" s="50"/>
      <c r="H7" s="51"/>
      <c r="J7" s="58"/>
      <c r="K7" s="59"/>
      <c r="L7" s="60"/>
      <c r="N7" s="67"/>
      <c r="O7" s="68"/>
      <c r="P7" s="69"/>
    </row>
    <row r="8" spans="1:17" ht="15.75" thickTop="1"/>
  </sheetData>
  <mergeCells count="5">
    <mergeCell ref="B5:D7"/>
    <mergeCell ref="F5:H7"/>
    <mergeCell ref="J5:L7"/>
    <mergeCell ref="N5:P7"/>
    <mergeCell ref="A1:Q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NHS_Format_Report">
                <anchor moveWithCells="1" sizeWithCells="1">
                  <from>
                    <xdr:col>17</xdr:col>
                    <xdr:colOff>381000</xdr:colOff>
                    <xdr:row>4</xdr:row>
                    <xdr:rowOff>381000</xdr:rowOff>
                  </from>
                  <to>
                    <xdr:col>20</xdr:col>
                    <xdr:colOff>447675</xdr:colOff>
                    <xdr:row>7</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C997E-BF20-40AC-A8F3-785A952F73E4}">
  <sheetPr codeName="Sheet6"/>
  <dimension ref="A1:D9"/>
  <sheetViews>
    <sheetView workbookViewId="0">
      <selection sqref="A1:D1"/>
    </sheetView>
  </sheetViews>
  <sheetFormatPr defaultRowHeight="15"/>
  <cols>
    <col min="1" max="1" width="30.28515625" bestFit="1" customWidth="1"/>
    <col min="2" max="2" width="9.140625" bestFit="1" customWidth="1"/>
    <col min="3" max="3" width="10" bestFit="1" customWidth="1"/>
    <col min="4" max="4" width="11.7109375" bestFit="1" customWidth="1"/>
  </cols>
  <sheetData>
    <row r="1" spans="1:4">
      <c r="A1" s="17" t="s">
        <v>140</v>
      </c>
      <c r="B1" s="17" t="s">
        <v>141</v>
      </c>
      <c r="C1" s="17" t="s">
        <v>142</v>
      </c>
      <c r="D1" s="17" t="s">
        <v>143</v>
      </c>
    </row>
    <row r="2" spans="1:4">
      <c r="A2" t="s">
        <v>64</v>
      </c>
      <c r="B2" t="s">
        <v>20</v>
      </c>
      <c r="C2" t="s">
        <v>144</v>
      </c>
      <c r="D2" t="s">
        <v>145</v>
      </c>
    </row>
    <row r="3" spans="1:4">
      <c r="A3" t="s">
        <v>24</v>
      </c>
      <c r="B3" t="s">
        <v>20</v>
      </c>
      <c r="C3" t="s">
        <v>146</v>
      </c>
      <c r="D3" t="s">
        <v>147</v>
      </c>
    </row>
    <row r="4" spans="1:4">
      <c r="A4" t="s">
        <v>1</v>
      </c>
      <c r="B4" t="s">
        <v>2</v>
      </c>
      <c r="C4" t="s">
        <v>146</v>
      </c>
      <c r="D4" t="s">
        <v>148</v>
      </c>
    </row>
    <row r="5" spans="1:4">
      <c r="A5" t="s">
        <v>54</v>
      </c>
      <c r="B5" t="s">
        <v>55</v>
      </c>
      <c r="C5" t="s">
        <v>144</v>
      </c>
      <c r="D5" t="s">
        <v>55</v>
      </c>
    </row>
    <row r="6" spans="1:4">
      <c r="A6" t="s">
        <v>19</v>
      </c>
      <c r="B6" t="s">
        <v>20</v>
      </c>
      <c r="C6" t="s">
        <v>144</v>
      </c>
      <c r="D6" t="s">
        <v>149</v>
      </c>
    </row>
    <row r="7" spans="1:4">
      <c r="A7" t="s">
        <v>34</v>
      </c>
      <c r="B7" t="s">
        <v>35</v>
      </c>
      <c r="C7" t="s">
        <v>146</v>
      </c>
      <c r="D7" t="s">
        <v>150</v>
      </c>
    </row>
    <row r="8" spans="1:4">
      <c r="A8" t="s">
        <v>29</v>
      </c>
      <c r="B8" t="s">
        <v>20</v>
      </c>
      <c r="C8" t="s">
        <v>144</v>
      </c>
      <c r="D8" t="s">
        <v>151</v>
      </c>
    </row>
    <row r="9" spans="1:4">
      <c r="A9" t="s">
        <v>16</v>
      </c>
      <c r="B9" t="s">
        <v>2</v>
      </c>
      <c r="C9" t="s">
        <v>146</v>
      </c>
      <c r="D9" t="s">
        <v>152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FCDA0912-1156-4246-B3C5-860FDE94D1E4}">
  <ds:schemaRefs>
    <ds:schemaRef ds:uri="http://schemas.microsoft.com/DataMashup"/>
  </ds:schemaRefs>
</ds:datastoreItem>
</file>

<file path=customXml/itemProps2.xml><?xml version="1.0" encoding="utf-8"?>
<ds:datastoreItem xmlns:ds="http://schemas.openxmlformats.org/officeDocument/2006/customXml" ds:itemID="{5F1928FB-F7D7-452F-A033-B907D9897A0D}">
  <ds:schemaRefs/>
</ds:datastoreItem>
</file>

<file path=customXml/itemProps3.xml><?xml version="1.0" encoding="utf-8"?>
<ds:datastoreItem xmlns:ds="http://schemas.openxmlformats.org/officeDocument/2006/customXml" ds:itemID="{7B38D485-B7B4-4734-9498-B55062A0A840}">
  <ds:schemaRefs/>
</ds:datastoreItem>
</file>

<file path=customXml/itemProps4.xml><?xml version="1.0" encoding="utf-8"?>
<ds:datastoreItem xmlns:ds="http://schemas.openxmlformats.org/officeDocument/2006/customXml" ds:itemID="{05874ECF-DBC2-455F-84C0-5D7D679843B2}">
  <ds:schemaRefs/>
</ds:datastoreItem>
</file>

<file path=customXml/itemProps5.xml><?xml version="1.0" encoding="utf-8"?>
<ds:datastoreItem xmlns:ds="http://schemas.openxmlformats.org/officeDocument/2006/customXml" ds:itemID="{E508CC35-604C-48F3-9611-99722868090A}">
  <ds:schemaRefs/>
</ds:datastoreItem>
</file>

<file path=customXml/itemProps6.xml><?xml version="1.0" encoding="utf-8"?>
<ds:datastoreItem xmlns:ds="http://schemas.openxmlformats.org/officeDocument/2006/customXml" ds:itemID="{D784AD74-1AE4-4FFC-9CEC-B8AA10894638}">
  <ds:schemaRefs/>
</ds:datastoreItem>
</file>

<file path=customXml/itemProps7.xml><?xml version="1.0" encoding="utf-8"?>
<ds:datastoreItem xmlns:ds="http://schemas.openxmlformats.org/officeDocument/2006/customXml" ds:itemID="{577B285F-55C5-4993-94F0-6D791D07E026}">
  <ds:schemaRefs/>
</ds:datastoreItem>
</file>

<file path=customXml/itemProps8.xml><?xml version="1.0" encoding="utf-8"?>
<ds:datastoreItem xmlns:ds="http://schemas.openxmlformats.org/officeDocument/2006/customXml" ds:itemID="{13D8F62C-7047-421B-AF89-6711A1823C24}">
  <ds:schemaRefs/>
</ds:datastoreItem>
</file>

<file path=customXml/itemProps9.xml><?xml version="1.0" encoding="utf-8"?>
<ds:datastoreItem xmlns:ds="http://schemas.openxmlformats.org/officeDocument/2006/customXml" ds:itemID="{E3A817CA-4046-4C1F-9C36-464DAE97D4BD}">
  <ds:schemaRefs/>
</ds:datastoreItem>
</file>

<file path=customXml/itemProps10.xml><?xml version="1.0" encoding="utf-8"?>
<ds:datastoreItem xmlns:ds="http://schemas.openxmlformats.org/officeDocument/2006/customXml" ds:itemID="{B5D59413-1CCC-40B1-9EA6-3BA4EBD46221}">
  <ds:schemaRefs/>
</ds:datastoreItem>
</file>

<file path=customXml/itemProps11.xml><?xml version="1.0" encoding="utf-8"?>
<ds:datastoreItem xmlns:ds="http://schemas.openxmlformats.org/officeDocument/2006/customXml" ds:itemID="{33E64648-C7C1-40B0-A1DA-F0C5527C37EC}">
  <ds:schemaRefs/>
</ds:datastoreItem>
</file>

<file path=customXml/itemProps12.xml><?xml version="1.0" encoding="utf-8"?>
<ds:datastoreItem xmlns:ds="http://schemas.openxmlformats.org/officeDocument/2006/customXml" ds:itemID="{7372C0F2-DA16-4482-8F15-82B3F9A3E791}">
  <ds:schemaRefs/>
</ds:datastoreItem>
</file>

<file path=customXml/itemProps13.xml><?xml version="1.0" encoding="utf-8"?>
<ds:datastoreItem xmlns:ds="http://schemas.openxmlformats.org/officeDocument/2006/customXml" ds:itemID="{34C44808-1399-4BE0-A3D0-5C873217DCB3}">
  <ds:schemaRefs/>
</ds:datastoreItem>
</file>

<file path=customXml/itemProps14.xml><?xml version="1.0" encoding="utf-8"?>
<ds:datastoreItem xmlns:ds="http://schemas.openxmlformats.org/officeDocument/2006/customXml" ds:itemID="{EDC4A420-29E9-41F9-A680-7CDA557C02E2}">
  <ds:schemaRefs/>
</ds:datastoreItem>
</file>

<file path=customXml/itemProps15.xml><?xml version="1.0" encoding="utf-8"?>
<ds:datastoreItem xmlns:ds="http://schemas.openxmlformats.org/officeDocument/2006/customXml" ds:itemID="{05168E95-9852-4480-AEB8-5C3FCD23A519}">
  <ds:schemaRefs/>
</ds:datastoreItem>
</file>

<file path=customXml/itemProps16.xml><?xml version="1.0" encoding="utf-8"?>
<ds:datastoreItem xmlns:ds="http://schemas.openxmlformats.org/officeDocument/2006/customXml" ds:itemID="{CFF05A4F-8486-4F2E-A24A-31662DB9B220}">
  <ds:schemaRefs/>
</ds:datastoreItem>
</file>

<file path=customXml/itemProps17.xml><?xml version="1.0" encoding="utf-8"?>
<ds:datastoreItem xmlns:ds="http://schemas.openxmlformats.org/officeDocument/2006/customXml" ds:itemID="{C4955454-569A-446C-B72D-97D50F79A7A2}">
  <ds:schemaRefs/>
</ds:datastoreItem>
</file>

<file path=customXml/itemProps18.xml><?xml version="1.0" encoding="utf-8"?>
<ds:datastoreItem xmlns:ds="http://schemas.openxmlformats.org/officeDocument/2006/customXml" ds:itemID="{85217536-3C54-426C-9E17-1A746BAE23E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Raw Data</vt:lpstr>
      <vt:lpstr>PQ Output</vt:lpstr>
      <vt:lpstr>DAX Pivot</vt:lpstr>
      <vt:lpstr>Analysis</vt:lpstr>
      <vt:lpstr>Pivot</vt:lpstr>
      <vt:lpstr>Dashboard</vt:lpstr>
      <vt:lpstr>Trust Lookup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Sulman Hayder</dc:creator>
  <cp:lastModifiedBy>Sulman Hayder</cp:lastModifiedBy>
  <dcterms:created xsi:type="dcterms:W3CDTF">2015-06-05T18:17:20Z</dcterms:created>
  <dcterms:modified xsi:type="dcterms:W3CDTF">2026-07-26T20:59:39Z</dcterms:modified>
</cp:coreProperties>
</file>